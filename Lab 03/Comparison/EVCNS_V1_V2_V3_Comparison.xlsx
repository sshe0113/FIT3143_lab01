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7803ac499e46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arison" sheetId="1" r:id="Rd034b0a3b68b4bc7"/>
    <x:sheet xmlns:r="http://schemas.openxmlformats.org/officeDocument/2006/relationships" name="Alert data" sheetId="2" r:id="Raae5dd844d9244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"/>
    <x:numFmt numFmtId="201" formatCode="#,##0"/>
    <x:numFmt numFmtId="202" formatCode="0"/>
    <x:numFmt numFmtId="203" formatCode="0.00"/>
  </x:numFmts>
  <x:fonts count="11">
    <x:font>
      <x:sz val="11"/>
      <x:name val="Carlito"/>
    </x:font>
    <x:font>
      <x:sz val="11"/>
      <x:color rgb="FF172B4D"/>
      <x:name val="Arial"/>
    </x:font>
    <x:font>
      <x:b/>
      <x:sz val="16"/>
      <x:color rgb="FF223A5E"/>
      <x:name val="Arial"/>
    </x:font>
    <x:font>
      <x:sz val="11"/>
      <x:color rgb="FF52647B"/>
      <x:name val="Arial"/>
    </x:font>
    <x:font>
      <x:b/>
      <x:sz val="11"/>
      <x:color rgb="FF223A5E"/>
      <x:name val="Arial"/>
    </x:font>
    <x:font>
      <x:b/>
      <x:sz val="11"/>
      <x:color rgb="FFFFFFFF"/>
      <x:name val="Arial"/>
    </x:font>
    <x:font>
      <x:sz val="10"/>
      <x:color rgb="FF172B4D"/>
      <x:name val="Arial"/>
    </x:font>
    <x:font>
      <x:b/>
      <x:sz val="15"/>
      <x:color rgb="FF223A5E"/>
      <x:name val="Arial"/>
    </x:font>
    <x:font>
      <x:i/>
      <x:sz val="10"/>
      <x:color rgb="FF52647B"/>
      <x:name val="Arial"/>
    </x:font>
    <x:font>
      <x:b/>
      <x:sz val="10"/>
      <x:color rgb="FFFFFFFF"/>
      <x:name val="Arial"/>
    </x:font>
    <x:font>
      <x:sz val="10"/>
      <x:color rgb="FF315F8C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9F0FA"/>
      </x:patternFill>
    </x:fill>
    <x:fill>
      <x:patternFill patternType="solid">
        <x:fgColor rgb="FF223A5E"/>
      </x:patternFill>
    </x:fill>
    <x:fill>
      <x:patternFill patternType="solid">
        <x:fgColor rgb="FFF7F9FC"/>
      </x:patternFill>
    </x:fill>
  </x:fills>
  <x:borders count="5">
    <x:border>
      <x:left/>
      <x:right/>
      <x:top/>
      <x:bottom/>
      <x:diagonal/>
    </x:border>
    <x:border>
      <x:left/>
      <x:right/>
      <x:top/>
      <x:bottom style="thin">
        <x:color rgb="FFAFC0D6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5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2" fillId="0" borderId="0" xfId="0" applyNumberFormat="1" applyFont="1" applyFill="1" applyBorder="1" applyAlignment="1">
      <x:alignment vertical="center" wrapText="0"/>
    </x:xf>
    <x:xf numFmtId="0" fontId="2" fillId="0" borderId="1" xfId="0" applyNumberFormat="1" applyFont="1" applyFill="1" applyBorder="1" applyAlignment="1">
      <x:alignment vertical="center" wrapText="0"/>
    </x:xf>
    <x:xf numFmtId="0" fontId="1" fillId="0" borderId="1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4" fillId="2" borderId="0" xfId="0" applyNumberFormat="1" applyFont="1" applyFill="1" applyBorder="1" applyAlignment="1">
      <x:alignment vertical="center" wrapText="0"/>
    </x:xf>
    <x:xf numFmtId="0" fontId="1" fillId="3" borderId="0" xfId="0" applyNumberFormat="1" applyFont="1" applyFill="1" applyBorder="1" applyAlignment="1">
      <x:alignment vertical="center" wrapText="0"/>
    </x:xf>
    <x:xf numFmtId="0" fontId="5" fillId="3" borderId="0" xfId="0" applyNumberFormat="1" applyFont="1" applyFill="1" applyBorder="1" applyAlignment="1">
      <x:alignment vertical="center" wrapText="0"/>
    </x:xf>
    <x:xf numFmtId="0" fontId="5" fillId="3" borderId="2" xfId="0" applyNumberFormat="1" applyFont="1" applyFill="1" applyBorder="1" applyAlignment="1">
      <x:alignment vertical="center" wrapText="0"/>
    </x:xf>
    <x:xf numFmtId="0" fontId="5" fillId="3" borderId="3" xfId="0" applyNumberFormat="1" applyFont="1" applyFill="1" applyBorder="1" applyAlignment="1">
      <x:alignment vertical="center" wrapText="0"/>
    </x:xf>
    <x:xf numFmtId="0" fontId="5" fillId="3" borderId="4" xfId="0" applyNumberFormat="1" applyFont="1" applyFill="1" applyBorder="1" applyAlignment="1">
      <x:alignment vertical="center" wrapText="0"/>
    </x:xf>
    <x:xf numFmtId="0" fontId="5" fillId="3" borderId="2" xfId="0" applyNumberFormat="1" applyFont="1" applyFill="1" applyBorder="1" applyAlignment="1">
      <x:alignment horizontal="center" vertical="center" wrapText="0"/>
    </x:xf>
    <x:xf numFmtId="0" fontId="5" fillId="3" borderId="3" xfId="0" applyNumberFormat="1" applyFont="1" applyFill="1" applyBorder="1" applyAlignment="1">
      <x:alignment horizontal="center" vertical="center" wrapText="0"/>
    </x:xf>
    <x:xf numFmtId="0" fontId="5" fillId="3" borderId="4" xfId="0" applyNumberFormat="1" applyFont="1" applyFill="1" applyBorder="1" applyAlignment="1">
      <x:alignment horizontal="center" vertical="center" wrapText="0"/>
    </x:xf>
    <x:xf numFmtId="0" fontId="1" fillId="4" borderId="0" xfId="0" applyNumberFormat="1" applyFont="1" applyFill="1" applyBorder="1" applyAlignment="1">
      <x:alignment vertical="center" wrapText="0"/>
    </x:xf>
    <x:xf numFmtId="200" fontId="1" fillId="4" borderId="0" xfId="0" applyNumberFormat="1" applyFont="1" applyFill="1" applyBorder="1" applyAlignment="1">
      <x:alignment vertical="center" wrapText="0"/>
    </x:xf>
    <x:xf numFmtId="200" fontId="1" fillId="0" borderId="0" xfId="0" applyNumberFormat="1" applyFont="1" applyFill="1" applyBorder="1" applyAlignment="1">
      <x:alignment vertical="center" wrapText="0"/>
    </x:xf>
    <x:xf numFmtId="200" fontId="1" fillId="4" borderId="0" xfId="0" applyNumberFormat="1" applyFont="1" applyFill="1" applyBorder="1" applyAlignment="1">
      <x:alignment horizontal="right" vertical="center" wrapText="0"/>
    </x:xf>
    <x:xf numFmtId="200" fontId="1" fillId="0" borderId="0" xfId="0" applyNumberFormat="1" applyFont="1" applyFill="1" applyBorder="1" applyAlignment="1">
      <x:alignment horizontal="right" vertical="center" wrapText="0"/>
    </x:xf>
    <x:xf numFmtId="0" fontId="1" fillId="0" borderId="0" xfId="0" applyNumberFormat="1" applyFont="1" applyFill="1" applyBorder="1" applyAlignment="1">
      <x:alignment horizontal="right" vertical="center" wrapText="0"/>
    </x:xf>
    <x:xf numFmtId="0" fontId="1" fillId="4" borderId="0" xfId="0" applyNumberFormat="1" applyFont="1" applyFill="1" applyBorder="1" applyAlignment="1">
      <x:alignment horizontal="right" vertical="center" wrapText="0"/>
    </x:xf>
    <x:xf numFmtId="201" fontId="1" fillId="0" borderId="0" xfId="0" applyNumberFormat="1" applyFont="1" applyFill="1" applyBorder="1" applyAlignment="1">
      <x:alignment horizontal="right" vertical="center" wrapText="0"/>
    </x:xf>
    <x:xf numFmtId="201" fontId="1" fillId="4" borderId="0" xfId="0" applyNumberFormat="1" applyFont="1" applyFill="1" applyBorder="1" applyAlignment="1">
      <x:alignment horizontal="right" vertical="center" wrapText="0"/>
    </x:xf>
    <x:xf numFmtId="202" fontId="1" fillId="0" borderId="0" xfId="0" applyNumberFormat="1" applyFont="1" applyFill="1" applyBorder="1" applyAlignment="1">
      <x:alignment horizontal="right" vertical="center" wrapText="0"/>
    </x:xf>
    <x:xf numFmtId="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0"/>
    </x:xf>
    <x:xf numFmtId="201" fontId="1" fillId="4" borderId="0" xfId="0" applyNumberFormat="1" applyFont="1" applyFill="1" applyBorder="1" applyAlignment="1">
      <x:alignment vertical="center" wrapText="0"/>
    </x:xf>
    <x:xf numFmtId="0" fontId="1" fillId="4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 applyAlignment="1">
      <x:alignment vertical="center"/>
    </x:xf>
    <x:xf numFmtId="0" fontId="9" fillId="3" borderId="2" xfId="0" applyNumberFormat="1" applyFont="1" applyFill="1" applyBorder="1" applyAlignment="1">
      <x:alignment vertical="center"/>
    </x:xf>
    <x:xf numFmtId="0" fontId="9" fillId="3" borderId="3" xfId="0" applyNumberFormat="1" applyFont="1" applyFill="1" applyBorder="1" applyAlignment="1">
      <x:alignment vertical="center"/>
    </x:xf>
    <x:xf numFmtId="0" fontId="9" fillId="3" borderId="4" xfId="0" applyNumberFormat="1" applyFont="1" applyFill="1" applyBorder="1" applyAlignment="1">
      <x:alignment vertical="center"/>
    </x:xf>
    <x:xf numFmtId="0" fontId="9" fillId="3" borderId="2" xfId="0" applyNumberFormat="1" applyFont="1" applyFill="1" applyBorder="1" applyAlignment="1">
      <x:alignment horizontal="center" vertical="center"/>
    </x:xf>
    <x:xf numFmtId="0" fontId="9" fillId="3" borderId="3" xfId="0" applyNumberFormat="1" applyFont="1" applyFill="1" applyBorder="1" applyAlignment="1">
      <x:alignment horizontal="center" vertical="center"/>
    </x:xf>
    <x:xf numFmtId="0" fontId="9" fillId="3" borderId="4" xfId="0" applyNumberFormat="1" applyFont="1" applyFill="1" applyBorder="1" applyAlignment="1">
      <x:alignment horizontal="center" vertical="center"/>
    </x:xf>
    <x:xf numFmtId="202" fontId="6" fillId="0" borderId="0" xfId="0" applyNumberFormat="1" applyFont="1" applyFill="1" applyBorder="1" applyAlignment="1">
      <x:alignment vertical="center"/>
    </x:xf>
    <x:xf numFmtId="203" fontId="6" fillId="0" borderId="0" xfId="0" applyNumberFormat="1" applyFont="1" applyFill="1" applyBorder="1" applyAlignment="1">
      <x:alignment vertical="center"/>
    </x:xf>
    <x:xf numFmtId="202" fontId="6" fillId="0" borderId="0" xfId="0" applyNumberFormat="1" applyFont="1" applyFill="1" applyBorder="1" applyAlignment="1">
      <x:alignment horizontal="right" vertical="center"/>
    </x:xf>
    <x:xf numFmtId="203" fontId="6" fillId="0" borderId="0" xfId="0" applyNumberFormat="1" applyFont="1" applyFill="1" applyBorder="1" applyAlignment="1">
      <x:alignment horizontal="right" vertical="center"/>
    </x:xf>
    <x:xf numFmtId="0" fontId="6" fillId="4" borderId="0" xfId="0" applyNumberFormat="1" applyFont="1" applyFill="1" applyBorder="1" applyAlignment="1">
      <x:alignment vertical="center"/>
    </x:xf>
    <x:xf numFmtId="202" fontId="6" fillId="4" borderId="0" xfId="0" applyNumberFormat="1" applyFont="1" applyFill="1" applyBorder="1" applyAlignment="1">
      <x:alignment horizontal="right" vertical="center"/>
    </x:xf>
    <x:xf numFmtId="203" fontId="6" fillId="4" borderId="0" xfId="0" applyNumberFormat="1" applyFont="1" applyFill="1" applyBorder="1" applyAlignment="1">
      <x:alignment horizontal="right" vertical="center"/>
    </x:xf>
    <x:xf numFmtId="202" fontId="6" fillId="4" borderId="0" xfId="0" applyNumberFormat="1" applyFont="1" applyFill="1" applyBorder="1" applyAlignment="1">
      <x:alignment vertical="center"/>
    </x:xf>
    <x:xf numFmtId="202" fontId="10" fillId="0" borderId="0" xfId="0" applyNumberFormat="1" applyFont="1" applyFill="1" applyBorder="1" applyAlignment="1">
      <x:alignment horizontal="right" vertical="center"/>
    </x:xf>
    <x:xf numFmtId="202" fontId="10" fillId="4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3">
    <x:dxf>
      <x:font>
        <x:b/>
        <x:color rgb="FFA12622"/>
      </x:font>
      <x:fill>
        <x:patternFill patternType="solid">
          <x:bgColor rgb="FFFDE9E7"/>
        </x:patternFill>
      </x:fill>
    </x:dxf>
    <x:dxf>
      <x:font>
        <x:b/>
        <x:color rgb="FFA12622"/>
      </x:font>
      <x:fill>
        <x:patternFill patternType="solid">
          <x:bgColor rgb="FFFDE9E7"/>
        </x:patternFill>
      </x:fill>
    </x:dxf>
    <x:dxf>
      <x:font>
        <x:b/>
        <x:color rgb="FFA12622"/>
      </x:font>
      <x:fill>
        <x:patternFill patternType="solid">
          <x:bgColor rgb="FFFD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a83a4664a2405e" /><Relationship Type="http://schemas.openxmlformats.org/officeDocument/2006/relationships/theme" Target="/xl/theme/theme1.xml" Id="R5ff8da99b216487f" /><Relationship Type="http://schemas.openxmlformats.org/officeDocument/2006/relationships/sharedStrings" Target="/xl/sharedStrings.xml" Id="R7a93aedf922241b5" /><Relationship Type="http://schemas.openxmlformats.org/officeDocument/2006/relationships/worksheet" Target="/xl/worksheets/sheet1.xml" Id="Rd034b0a3b68b4bc7" /><Relationship Type="http://schemas.openxmlformats.org/officeDocument/2006/relationships/worksheet" Target="/xl/worksheets/sheet2.xml" Id="Raae5dd844d9244d4" /></Relationships>
</file>

<file path=xl/tables/table1.xml><?xml version="1.0" encoding="utf-8"?>
<x:table xmlns:x="http://schemas.openxmlformats.org/spreadsheetml/2006/main" id="1" name="AlertRecords" displayName="AlertRecords" ref="A4:X112" headerRowCount="1" totalsRowCount="0" totalsRowShown="0">
  <x:tableColumns count="24">
    <x:tableColumn id="1" name="Version"/>
    <x:tableColumn id="2" name="Alert ID"/>
    <x:tableColumn id="3" name="时间 (s)"/>
    <x:tableColumn id="4" name="World rank"/>
    <x:tableColumn id="5" name="行坐标"/>
    <x:tableColumn id="6" name="列坐标"/>
    <x:tableColumn id="7" name="自身空位"/>
    <x:tableColumn id="8" name="上邻居空位"/>
    <x:tableColumn id="9" name="下邻居空位"/>
    <x:tableColumn id="10" name="左邻居空位"/>
    <x:tableColumn id="11" name="右邻居空位"/>
    <x:tableColumn id="12" name="记录消息数"/>
    <x:tableColumn id="13" name="记录字节数"/>
    <x:tableColumn id="14" name="推荐行"/>
    <x:tableColumn id="15" name="推荐列"/>
    <x:tableColumn id="16" name="有效邻居数"/>
    <x:tableColumn id="17" name="预期消息数"/>
    <x:tableColumn id="18" name="预期字节数"/>
    <x:tableColumn id="19" name="自身&gt;2"/>
    <x:tableColumn id="20" name="邻居&gt;2"/>
    <x:tableColumn id="21" name="消息数不符"/>
    <x:tableColumn id="22" name="字节数不符"/>
    <x:tableColumn id="23" name="来源文件"/>
    <x:tableColumn id="24" name="来源行号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fdcb4ccffd44b18" /></Relationships>
</file>

<file path=xl/worksheets/sheet1.xml><?xml version="1.0" encoding="utf-8"?>
<x:worksheet xmlns:x="http://schemas.openxmlformats.org/spreadsheetml/2006/main">
  <x:sheetPr>
    <x:tabColor rgb="FF223A5E"/>
  </x:sheetPr>
  <x:sheetViews>
    <x:sheetView showGridLines="0" workbookViewId="0"/>
  </x:sheetViews>
  <x:sheetFormatPr defaultRowHeight="15"/>
  <x:cols>
    <x:col min="1" max="1" width="3" hidden="0" customWidth="1"/>
    <x:col min="2" max="2" width="35" hidden="0" customWidth="1"/>
    <x:col min="3" max="3" width="42" hidden="0" customWidth="1"/>
    <x:col min="4" max="4" width="42" hidden="0" customWidth="1"/>
    <x:col min="5" max="5" width="42" hidden="0" customWidth="1"/>
  </x:cols>
  <x:sheetData>
    <x:row r="2" ht="34" customHeight="1">
      <x:c r="B2" s="5" t="str">
        <x:v>EVCNS V1–V3 实验对比</x:v>
      </x:c>
      <x:c r="C2" s="6"/>
      <x:c r="D2" s="6"/>
      <x:c r="E2" s="6"/>
    </x:row>
    <x:row r="3" ht="26" customHeight="1">
      <x:c r="B3" s="7" t="str">
        <x:v>3×3 mesh，9 个充电节点 + 1 个基站，每节点 6 个端口；整理日期：2026-10-20。</x:v>
      </x:c>
      <x:c r="C3" s="3"/>
      <x:c r="D3" s="3"/>
      <x:c r="E3" s="3"/>
    </x:row>
    <x:row r="4" ht="25" customHeight="1">
      <x:c r="B4" s="3" t="str">
        <x:v>当前团队倾向</x:v>
      </x:c>
      <x:c r="C4" s="9" t="str">
        <x:v>V1</x:v>
      </x:c>
      <x:c r="D4" s="3" t="str">
        <x:v>后续 Task 3 候选</x:v>
      </x:c>
      <x:c r="E4" s="3" t="str">
        <x:v>性能排名尚未确定</x:v>
      </x:c>
    </x:row>
    <x:row r="5" ht="26" customHeight="1">
      <x:c r="B5" s="7" t="str">
        <x:v>倾向 V1：保留并发查询，现有代码较熟悉，维护成本低于 V3；当前数据尚不能证明它最快。</x:v>
      </x:c>
      <x:c r="C5" s="3"/>
      <x:c r="D5" s="3"/>
      <x:c r="E5" s="3"/>
    </x:row>
    <x:row r="6" ht="25" customHeight="1">
      <x:c r="B6" s="3"/>
      <x:c r="C6" s="3"/>
      <x:c r="D6" s="3"/>
      <x:c r="E6" s="3"/>
    </x:row>
    <x:row r="7" ht="28" customHeight="1">
      <x:c r="B7" s="15" t="str">
        <x:v>单次 3×3 实测</x:v>
      </x:c>
      <x:c r="C7" s="16" t="str">
        <x:v>V1</x:v>
      </x:c>
      <x:c r="D7" s="16" t="str">
        <x:v>V2</x:v>
      </x:c>
      <x:c r="E7" s="17" t="str">
        <x:v>V3</x:v>
      </x:c>
    </x:row>
    <x:row r="8" ht="25" customHeight="1">
      <x:c r="B8" s="18" t="str">
        <x:v>基站记录的总时间 (s)</x:v>
      </x:c>
      <x:c r="C8" s="21" t="n">
        <x:v>34.0012</x:v>
      </x:c>
      <x:c r="D8" s="21" t="n">
        <x:v>34.0005</x:v>
      </x:c>
      <x:c r="E8" s="21" t="n">
        <x:v>30.0841</x:v>
      </x:c>
    </x:row>
    <x:row r="9" ht="25" customHeight="1">
      <x:c r="B9" s="3" t="str">
        <x:v>基站记录的通信时间 (s)</x:v>
      </x:c>
      <x:c r="C9" s="22" t="n">
        <x:v>0.0902</x:v>
      </x:c>
      <x:c r="D9" s="22" t="n">
        <x:v>0.0907</x:v>
      </x:c>
      <x:c r="E9" s="22" t="n">
        <x:v>0.1093</x:v>
      </x:c>
    </x:row>
    <x:row r="10" ht="25" customHeight="1">
      <x:c r="B10" s="18" t="str">
        <x:v>基站记录的计算时间 (s)</x:v>
      </x:c>
      <x:c r="C10" s="21" t="n">
        <x:v>0</x:v>
      </x:c>
      <x:c r="D10" s="21" t="n">
        <x:v>0</x:v>
      </x:c>
      <x:c r="E10" s="21" t="n">
        <x:v>0</x:v>
      </x:c>
    </x:row>
    <x:row r="11" ht="25" customHeight="1">
      <x:c r="B11" s="3" t="str">
        <x:v>拥堵报告数</x:v>
      </x:c>
      <x:c r="C11" s="25" t="n">
        <x:v>25</x:v>
      </x:c>
      <x:c r="D11" s="25" t="n">
        <x:v>27</x:v>
      </x:c>
      <x:c r="E11" s="25" t="n">
        <x:v>56</x:v>
      </x:c>
    </x:row>
    <x:row r="12" ht="25" customHeight="1">
      <x:c r="B12" s="18" t="str">
        <x:v>Communication Events（原日志）</x:v>
      </x:c>
      <x:c r="C12" s="26" t="n">
        <x:v>153</x:v>
      </x:c>
      <x:c r="D12" s="26" t="n">
        <x:v>163</x:v>
      </x:c>
      <x:c r="E12" s="26" t="n">
        <x:v>504</x:v>
      </x:c>
    </x:row>
    <x:row r="13" ht="25" customHeight="1">
      <x:c r="B13" s="3" t="str">
        <x:v>网格 / MPI 进程数</x:v>
      </x:c>
      <x:c r="C13" s="23" t="str">
        <x:v>3×3 / 10</x:v>
      </x:c>
      <x:c r="D13" s="23" t="str">
        <x:v>3×3 / 10</x:v>
      </x:c>
      <x:c r="E13" s="23" t="str">
        <x:v>3×3 / 10</x:v>
      </x:c>
    </x:row>
    <x:row r="14" ht="25" customHeight="1">
      <x:c r="B14" s="18" t="str">
        <x:v>每节点端口线程 / 通信线程</x:v>
      </x:c>
      <x:c r="C14" s="24" t="str">
        <x:v>6 / 1</x:v>
      </x:c>
      <x:c r="D14" s="24" t="str">
        <x:v>6 / 1</x:v>
      </x:c>
      <x:c r="E14" s="24" t="str">
        <x:v>6 / 1</x:v>
      </x:c>
    </x:row>
    <x:row r="15" ht="25" customHeight="1">
      <x:c r="B15" s="3" t="str">
        <x:v>本次记录的运行次数</x:v>
      </x:c>
      <x:c r="C15" s="27" t="n">
        <x:v>1</x:v>
      </x:c>
      <x:c r="D15" s="27" t="n">
        <x:v>1</x:v>
      </x:c>
      <x:c r="E15" s="27" t="n">
        <x:v>1</x:v>
      </x:c>
    </x:row>
    <x:row r="16" ht="25" customHeight="1">
      <x:c r="B16" s="18" t="str">
        <x:v>数据来源</x:v>
      </x:c>
      <x:c r="C16" s="18" t="str">
        <x:v>v1/log.txt</x:v>
      </x:c>
      <x:c r="D16" s="18" t="str">
        <x:v>v2/log.txt</x:v>
      </x:c>
      <x:c r="E16" s="18" t="str">
        <x:v>v3/log.txt</x:v>
      </x:c>
    </x:row>
    <x:row r="17" ht="58" customHeight="1">
      <x:c r="B17" s="3" t="str">
        <x:v>退出协议对总时间的影响</x:v>
      </x:c>
      <x:c r="C17" s="28" t="str">
        <x:v>30 s 模拟后，基站继续 drain 约 4 s。</x:v>
      </x:c>
      <x:c r="D17" s="28" t="str">
        <x:v>30 s 后先结束当前授权，再沿用约 4 s drain。</x:v>
      </x:c>
      <x:c r="E17" s="28" t="str">
        <x:v>30 s 后按 DISABLE / READY / TERMINATE / TERMINATED 协议结束。</x:v>
      </x:c>
    </x:row>
    <x:row r="18" ht="26" customHeight="1">
      <x:c r="B18" s="7" t="str">
        <x:v>计算时间按原日志保留四位小数；0.0000 不等于没有计算。基站通信时间不是逐消息类型的端到端延迟。</x:v>
      </x:c>
      <x:c r="C18" s="3"/>
      <x:c r="D18" s="3"/>
      <x:c r="E18" s="3"/>
    </x:row>
    <x:row r="19" ht="25" customHeight="1">
      <x:c r="B19" s="3"/>
      <x:c r="C19" s="3"/>
      <x:c r="D19" s="3"/>
      <x:c r="E19" s="3"/>
    </x:row>
    <x:row r="20" ht="28" customHeight="1">
      <x:c r="B20" s="15" t="str">
        <x:v>逐条报告核对</x:v>
      </x:c>
      <x:c r="C20" s="16" t="str">
        <x:v>V1</x:v>
      </x:c>
      <x:c r="D20" s="16" t="str">
        <x:v>V2</x:v>
      </x:c>
      <x:c r="E20" s="17" t="str">
        <x:v>V3</x:v>
      </x:c>
    </x:row>
    <x:row r="21" ht="25" customHeight="1">
      <x:c r="B21" s="3" t="str">
        <x:v>解析到的报告数</x:v>
      </x:c>
      <x:c r="C21" s="25" t="n">
        <x:f>COUNTIFS('Alert data'!$A$5:$A$112,C$20)</x:f>
        <x:v>25</x:v>
      </x:c>
      <x:c r="D21" s="25" t="n">
        <x:f>COUNTIFS('Alert data'!$A$5:$A$112,D$20)</x:f>
        <x:v>27</x:v>
      </x:c>
      <x:c r="E21" s="25" t="n">
        <x:f>COUNTIFS('Alert data'!$A$5:$A$112,E$20)</x:f>
        <x:v>56</x:v>
      </x:c>
    </x:row>
    <x:row r="22" ht="25" customHeight="1">
      <x:c r="B22" s="18" t="str">
        <x:v>返回候选坐标的报告数</x:v>
      </x:c>
      <x:c r="C22" s="26" t="n">
        <x:f>COUNTIFS('Alert data'!$A$5:$A$112,C$20,'Alert data'!$N$5:$N$112,"&gt;=0")</x:f>
        <x:v>3</x:v>
      </x:c>
      <x:c r="D22" s="26" t="n">
        <x:f>COUNTIFS('Alert data'!$A$5:$A$112,D$20,'Alert data'!$N$5:$N$112,"&gt;=0")</x:f>
        <x:v>5</x:v>
      </x:c>
      <x:c r="E22" s="26" t="n">
        <x:f>COUNTIFS('Alert data'!$A$5:$A$112,E$20,'Alert data'!$N$5:$N$112,"&gt;=0")</x:f>
        <x:v>6</x:v>
      </x:c>
    </x:row>
    <x:row r="23" ht="25" customHeight="1">
      <x:c r="B23" s="3" t="str">
        <x:v>返回 (-1,-1) 的报告数</x:v>
      </x:c>
      <x:c r="C23" s="25" t="n">
        <x:f>COUNTIFS('Alert data'!$A$5:$A$112,C$20,'Alert data'!$N$5:$N$112,"-1")</x:f>
        <x:v>22</x:v>
      </x:c>
      <x:c r="D23" s="25" t="n">
        <x:f>COUNTIFS('Alert data'!$A$5:$A$112,D$20,'Alert data'!$N$5:$N$112,"-1")</x:f>
        <x:v>22</x:v>
      </x:c>
      <x:c r="E23" s="25" t="n">
        <x:f>COUNTIFS('Alert data'!$A$5:$A$112,E$20,'Alert data'!$N$5:$N$112,"-1")</x:f>
        <x:v>50</x:v>
      </x:c>
    </x:row>
    <x:row r="24" ht="25" customHeight="1">
      <x:c r="B24" s="18" t="str">
        <x:v>报告时自身空位 &gt; 2</x:v>
      </x:c>
      <x:c r="C24" s="26" t="n">
        <x:f>SUMIFS('Alert data'!$S$5:$S$112,'Alert data'!$A$5:$A$112,C$20)</x:f>
        <x:v>0</x:v>
      </x:c>
      <x:c r="D24" s="26" t="n">
        <x:f>SUMIFS('Alert data'!$S$5:$S$112,'Alert data'!$A$5:$A$112,D$20)</x:f>
        <x:v>0</x:v>
      </x:c>
      <x:c r="E24" s="26" t="n">
        <x:f>SUMIFS('Alert data'!$S$5:$S$112,'Alert data'!$A$5:$A$112,E$20)</x:f>
        <x:v>1</x:v>
      </x:c>
    </x:row>
    <x:row r="25" ht="25" customHeight="1">
      <x:c r="B25" s="3" t="str">
        <x:v>报告中有效邻居空位 &gt; 2</x:v>
      </x:c>
      <x:c r="C25" s="25" t="n">
        <x:f>SUMIFS('Alert data'!$T$5:$T$112,'Alert data'!$A$5:$A$112,C$20)</x:f>
        <x:v>0</x:v>
      </x:c>
      <x:c r="D25" s="25" t="n">
        <x:f>SUMIFS('Alert data'!$T$5:$T$112,'Alert data'!$A$5:$A$112,D$20)</x:f>
        <x:v>0</x:v>
      </x:c>
      <x:c r="E25" s="25" t="n">
        <x:f>SUMIFS('Alert data'!$T$5:$T$112,'Alert data'!$A$5:$A$112,E$20)</x:f>
        <x:v>0</x:v>
      </x:c>
    </x:row>
    <x:row r="26" ht="25" customHeight="1">
      <x:c r="B26" s="18" t="str">
        <x:v>邻居消息数与拓扑不符</x:v>
      </x:c>
      <x:c r="C26" s="26" t="n">
        <x:f>SUMIFS('Alert data'!$U$5:$U$112,'Alert data'!$A$5:$A$112,C$20)</x:f>
        <x:v>0</x:v>
      </x:c>
      <x:c r="D26" s="26" t="n">
        <x:f>SUMIFS('Alert data'!$U$5:$U$112,'Alert data'!$A$5:$A$112,D$20)</x:f>
        <x:v>0</x:v>
      </x:c>
      <x:c r="E26" s="26" t="n">
        <x:f>SUMIFS('Alert data'!$U$5:$U$112,'Alert data'!$A$5:$A$112,E$20)</x:f>
        <x:v>50</x:v>
      </x:c>
    </x:row>
    <x:row r="27" ht="25" customHeight="1">
      <x:c r="B27" s="3" t="str">
        <x:v>邻居 payload 字节数与拓扑不符</x:v>
      </x:c>
      <x:c r="C27" s="25" t="n">
        <x:f>SUMIFS('Alert data'!$V$5:$V$112,'Alert data'!$A$5:$A$112,C$20)</x:f>
        <x:v>0</x:v>
      </x:c>
      <x:c r="D27" s="25" t="n">
        <x:f>SUMIFS('Alert data'!$V$5:$V$112,'Alert data'!$A$5:$A$112,D$20)</x:f>
        <x:v>0</x:v>
      </x:c>
      <x:c r="E27" s="25" t="n">
        <x:f>SUMIFS('Alert data'!$V$5:$V$112,'Alert data'!$A$5:$A$112,E$20)</x:f>
        <x:v>50</x:v>
      </x:c>
    </x:row>
    <x:row r="28" ht="25" customHeight="1">
      <x:c r="B28" s="18" t="str">
        <x:v>按原计数规则重新合计</x:v>
      </x:c>
      <x:c r="C28" s="26" t="n">
        <x:f>SUMIFS('Alert data'!$L$5:$L$112,'Alert data'!$A$5:$A$112,C$20)+C21</x:f>
        <x:v>153</x:v>
      </x:c>
      <x:c r="D28" s="26" t="n">
        <x:f>SUMIFS('Alert data'!$L$5:$L$112,'Alert data'!$A$5:$A$112,D$20)+D21</x:f>
        <x:v>163</x:v>
      </x:c>
      <x:c r="E28" s="26" t="n">
        <x:f>SUMIFS('Alert data'!$L$5:$L$112,'Alert data'!$A$5:$A$112,E$20)+E21</x:f>
        <x:v>504</x:v>
      </x:c>
    </x:row>
    <x:row r="29" ht="25" customHeight="1">
      <x:c r="B29" s="3" t="str">
        <x:v>原日志 Events − 重新合计</x:v>
      </x:c>
      <x:c r="C29" s="25" t="n">
        <x:f>C12-C28</x:f>
        <x:v>0</x:v>
      </x:c>
      <x:c r="D29" s="25" t="n">
        <x:f>D12-D28</x:f>
        <x:v>0</x:v>
      </x:c>
      <x:c r="E29" s="25" t="n">
        <x:f>E12-E28</x:f>
        <x:v>0</x:v>
      </x:c>
    </x:row>
    <x:row r="30" ht="26" customHeight="1">
      <x:c r="B30" s="7" t="str">
        <x:v>核对公式来自 Alert data 全部报告。Events 合计一致只说明符合原计数规则，不代表统计覆盖全部通信。</x:v>
      </x:c>
      <x:c r="C30" s="3"/>
      <x:c r="D30" s="3"/>
      <x:c r="E30" s="3"/>
    </x:row>
    <x:row r="31" ht="25" customHeight="1">
      <x:c r="B31" s="3"/>
      <x:c r="C31" s="3"/>
      <x:c r="D31" s="3"/>
      <x:c r="E31" s="3"/>
    </x:row>
    <x:row r="32" ht="28" customHeight="1">
      <x:c r="B32" s="15" t="str">
        <x:v>通信机制与实现差异</x:v>
      </x:c>
      <x:c r="C32" s="16" t="str">
        <x:v>V1</x:v>
      </x:c>
      <x:c r="D32" s="16" t="str">
        <x:v>V2</x:v>
      </x:c>
      <x:c r="E32" s="17" t="str">
        <x:v>V3</x:v>
      </x:c>
    </x:row>
    <x:row r="33" ht="62" customHeight="1">
      <x:c r="B33" s="3" t="str">
        <x:v>C1：邻居请求</x:v>
      </x:c>
      <x:c r="C33" s="32" t="str">
        <x:v>Isend 并发发起。</x:v>
      </x:c>
      <x:c r="D33" s="32" t="str">
        <x:v>Send 逐个发起。</x:v>
      </x:c>
      <x:c r="E33" s="32" t="str">
        <x:v>Isend 并发发起。</x:v>
      </x:c>
    </x:row>
    <x:row r="34" ht="62" customHeight="1">
      <x:c r="B34" s="18" t="str">
        <x:v>C2：邻居回复</x:v>
      </x:c>
      <x:c r="C34" s="33" t="str">
        <x:v>Irecv + Testall 接收；回复其他节点时使用 Send。</x:v>
      </x:c>
      <x:c r="D34" s="33" t="str">
        <x:v>Recv 阻塞等待；回复使用 Send。</x:v>
      </x:c>
      <x:c r="E34" s="33" t="str">
        <x:v>Irecv 接收；回复使用 Isend，事件循环推进请求。</x:v>
      </x:c>
    </x:row>
    <x:row r="35" ht="62" customHeight="1">
      <x:c r="B35" s="3" t="str">
        <x:v>C3 / C4：上报与推荐</x:v>
      </x:c>
      <x:c r="C35" s="32" t="str">
        <x:v>报告 Send；基站 Recv 后 Send；节点另行接收 C4。</x:v>
      </x:c>
      <x:c r="D35" s="32" t="str">
        <x:v>报告 Send 后完整 Recv C4，再交回查询权限。</x:v>
      </x:c>
      <x:c r="E35" s="32" t="str">
        <x:v>使用 Isend / Irecv 与 Test，保存独立请求和缓冲区。</x:v>
      </x:c>
    </x:row>
    <x:row r="36" ht="62" customHeight="1">
      <x:c r="B36" s="18" t="str">
        <x:v>查询协调</x:v>
      </x:c>
      <x:c r="C36" s="33" t="str">
        <x:v>各节点约每 3 s 检查，等待时继续回复邻居。</x:v>
      </x:c>
      <x:c r="D36" s="33" t="str">
        <x:v>GRANT=9 / DONE=10；每次一个主动节点，完整一轮后等约 3 s。</x:v>
      </x:c>
      <x:c r="E36" s="33" t="str">
        <x:v>多个节点可并发查询和上报，事件循环持续响应。</x:v>
      </x:c>
    </x:row>
    <x:row r="37" ht="62" customHeight="1">
      <x:c r="B37" s="3" t="str">
        <x:v>关闭方式</x:v>
      </x:c>
      <x:c r="C37" s="32" t="str">
        <x:v>TERMINATE 后节点 drain 3.5 s，基站 drain 4 s。</x:v>
      </x:c>
      <x:c r="D37" s="32" t="str">
        <x:v>等当前查询 DONE，再执行原有 TERMINATE 与定时 drain。</x:v>
      </x:c>
      <x:c r="E37" s="32" t="str">
        <x:v>DISABLE、READY、TERMINATE、TERMINATED 四阶段确认。</x:v>
      </x:c>
    </x:row>
    <x:row r="38" ht="62" customHeight="1">
      <x:c r="B38" s="18" t="str">
        <x:v>推荐搜索</x:v>
      </x:c>
      <x:c r="C38" s="33" t="str">
        <x:v>Diamond scanning，返回首个有效距离层的全部候选。</x:v>
      </x:c>
      <x:c r="D38" s="33" t="str">
        <x:v>沿用 V1 的搜索和等距离候选格式。</x:v>
      </x:c>
      <x:c r="E38" s="33" t="str">
        <x:v>Diamond scanning，返回首个有效距离层的全部候选。</x:v>
      </x:c>
    </x:row>
    <x:row r="39" ht="62" customHeight="1">
      <x:c r="B39" s="3" t="str">
        <x:v>主要取舍</x:v>
      </x:c>
      <x:c r="C39" s="32" t="str">
        <x:v>兼顾并发和可读性；保留部分 blocking 通信。</x:v>
      </x:c>
      <x:c r="D39" s="32" t="str">
        <x:v>顺序清晰，但全局查询串行化并增加授权消息。</x:v>
      </x:c>
      <x:c r="E39" s="32" t="str">
        <x:v>并发程度高，缓冲区生命周期与状态管理更复杂。</x:v>
      </x:c>
    </x:row>
    <x:row r="40" ht="62" customHeight="1">
      <x:c r="B40" s="18" t="str">
        <x:v>当前须说明的问题</x:v>
      </x:c>
      <x:c r="C40" s="33" t="str">
        <x:v>定时 drain 不能单独证明全部请求已完成；日志只打印一个 Nearest。</x:v>
      </x:c>
      <x:c r="D40" s="33" t="str">
        <x:v>Events 不含 GRANT / DONE；串行调度会影响周期和性能。</x:v>
      </x:c>
      <x:c r="E40" s="33" t="str">
        <x:v>消息数固定为 8；查询后自身恢复仍可能上报；随机配置需统一。</x:v>
      </x:c>
    </x:row>
    <x:row r="41" ht="25" customHeight="1">
      <x:c r="B41" s="3"/>
      <x:c r="C41" s="3"/>
      <x:c r="D41" s="3"/>
      <x:c r="E41" s="3"/>
    </x:row>
    <x:row r="42" ht="28" customHeight="1">
      <x:c r="B42" s="15" t="str">
        <x:v>选型与实验解释</x:v>
      </x:c>
      <x:c r="C42" s="16" t="str">
        <x:v>说明</x:v>
      </x:c>
      <x:c r="D42" s="16" t="str"/>
      <x:c r="E42" s="17" t="str"/>
    </x:row>
    <x:row r="43" ht="26" customHeight="1">
      <x:c r="B43" s="7" t="str">
        <x:v>团队目前倾向采用 V1 继续 Task 3：并发查询、代码熟悉程度与维护成本是选型依据。</x:v>
      </x:c>
      <x:c r="C43" s="3"/>
      <x:c r="D43" s="3"/>
      <x:c r="E43" s="3"/>
    </x:row>
    <x:row r="44" ht="26" customHeight="1">
      <x:c r="B44" s="7" t="str">
        <x:v>V1 的定时 drain 仍需结合 CAAS 退出状态检查；本表未将任何版本标记为已完全满足 rubric。</x:v>
      </x:c>
      <x:c r="C44" s="3"/>
      <x:c r="D44" s="3"/>
      <x:c r="E44" s="3"/>
    </x:row>
    <x:row r="45" ht="26" customHeight="1">
      <x:c r="B45" s="7" t="str">
        <x:v>V2 是带授权调度的 blocking 协议，不能把性能差异全部归因于 Send 与 Isend 的函数选择。</x:v>
      </x:c>
      <x:c r="C45" s="3"/>
      <x:c r="D45" s="3"/>
      <x:c r="E45" s="3"/>
    </x:row>
    <x:row r="46" ht="26" customHeight="1">
      <x:c r="B46" s="7" t="str">
        <x:v>V3 应先修正消息统计和上报条件，再使用一致的随机配置开展正式比较。</x:v>
      </x:c>
      <x:c r="C46" s="3"/>
      <x:c r="D46" s="3"/>
      <x:c r="E46" s="3"/>
    </x:row>
    <x:row r="47" ht="26" customHeight="1">
      <x:c r="B47" s="7" t="str">
        <x:v>三个版本各只有一次记录，报告数和随机状态不同，且关闭协议不同；当前不能确定性能排名。</x:v>
      </x:c>
      <x:c r="C47" s="3"/>
      <x:c r="D47" s="3"/>
      <x:c r="E47" s="3"/>
    </x:row>
    <x:row r="48" ht="26" customHeight="1">
      <x:c r="B48" s="7" t="str">
        <x:v>Task 3 仍需逐类消息延迟、不同规模与重复实验；现有基站汇总不能代替这些测量。</x:v>
      </x:c>
      <x:c r="C48" s="3"/>
      <x:c r="D48" s="3"/>
      <x:c r="E48" s="3"/>
    </x:row>
    <x:row r="49" ht="25" customHeight="1">
      <x:c r="B49" s="3"/>
      <x:c r="C49" s="3"/>
      <x:c r="D49" s="3"/>
      <x:c r="E49" s="3"/>
    </x:row>
    <x:row r="50" ht="28" customHeight="1">
      <x:c r="B50" s="15" t="str">
        <x:v>来源</x:v>
      </x:c>
      <x:c r="C50" s="16" t="str">
        <x:v>文件</x:v>
      </x:c>
      <x:c r="D50" s="16" t="str">
        <x:v>使用内容</x:v>
      </x:c>
      <x:c r="E50" s="17" t="str">
        <x:v>定位</x:v>
      </x:c>
    </x:row>
    <x:row r="51" ht="42" customHeight="1">
      <x:c r="B51" s="3" t="str">
        <x:v>V1</x:v>
      </x:c>
      <x:c r="C51" s="28" t="str">
        <x:v>v1/log.txt</x:v>
      </x:c>
      <x:c r="D51" s="28" t="str">
        <x:v>完整 ALERT 记录及 SIMULATION SUMMARY</x:v>
      </x:c>
      <x:c r="E51" s="28" t="str">
        <x:v>Summary 行 181–186</x:v>
      </x:c>
    </x:row>
    <x:row r="52" ht="42" customHeight="1">
      <x:c r="B52" s="18" t="str">
        <x:v>V2</x:v>
      </x:c>
      <x:c r="C52" s="31" t="str">
        <x:v>v2/log.txt</x:v>
      </x:c>
      <x:c r="D52" s="31" t="str">
        <x:v>完整 ALERT 记录及 SIMULATION SUMMARY</x:v>
      </x:c>
      <x:c r="E52" s="31" t="str">
        <x:v>Summary 行 194–199</x:v>
      </x:c>
    </x:row>
    <x:row r="53" ht="42" customHeight="1">
      <x:c r="B53" s="3" t="str">
        <x:v>V3</x:v>
      </x:c>
      <x:c r="C53" s="28" t="str">
        <x:v>v3/log.txt</x:v>
      </x:c>
      <x:c r="D53" s="28" t="str">
        <x:v>完整 ALERT 记录及 SIMULATION SUMMARY</x:v>
      </x:c>
      <x:c r="E53" s="28" t="str">
        <x:v>Summary 行 401–406</x:v>
      </x:c>
    </x:row>
    <x:row r="54" ht="42" customHeight="1">
      <x:c r="B54" s="18" t="str">
        <x:v>V1 / V3 实现</x:v>
      </x:c>
      <x:c r="C54" s="31" t="str">
        <x:v>evcns.c</x:v>
      </x:c>
      <x:c r="D54" s="31" t="str">
        <x:v>SlaveIO / MasterIO 及 _V3 实现</x:v>
      </x:c>
      <x:c r="E54" s="31" t="str">
        <x:v>Lab 03 根目录现有源文件</x:v>
      </x:c>
    </x:row>
    <x:row r="55" ht="42" customHeight="1">
      <x:c r="B55" s="3" t="str">
        <x:v>V2 实现</x:v>
      </x:c>
      <x:c r="C55" s="28" t="str">
        <x:v>v2/evcns.c</x:v>
      </x:c>
      <x:c r="D55" s="28" t="str">
        <x:v>blocking 查询、GRANT / DONE 与退出条件</x:v>
      </x:c>
      <x:c r="E55" s="28" t="str">
        <x:v>本次生成并实测的 V2 副本</x:v>
      </x:c>
    </x:row>
    <x:row r="56" ht="25" customHeight="1">
      <x:c r="B56" s="3"/>
      <x:c r="C56" s="3"/>
      <x:c r="D56" s="3"/>
      <x:c r="E56" s="3"/>
    </x:row>
    <x:row r="57" ht="26" customHeight="1">
      <x:c r="B57" s="7" t="str">
        <x:v>终端 stdout、Slurm State / ExitCode 与逐类消息延迟未随本次日志提供，不能由日志补推。</x:v>
      </x:c>
      <x:c r="C57" s="3"/>
      <x:c r="D57" s="3"/>
      <x:c r="E57" s="3"/>
    </x:row>
    <x:row r="58" ht="25" customHeight="1">
      <x:c r="B58" s="3"/>
      <x:c r="C58" s="3"/>
      <x:c r="D58" s="3"/>
      <x:c r="E58" s="3"/>
    </x:row>
  </x:sheetData>
  <x:conditionalFormatting sqref="C24:E27">
    <x:cfRule type="cellIs" dxfId="0" priority="1" operator="greaterThan">
      <x:formula>0</x:formula>
    </x:cfRule>
  </x:conditionalFormatting>
  <x:conditionalFormatting sqref="C29:E29">
    <x:cfRule type="cellIs" dxfId="1" priority="2" operator="notEqual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0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9" hidden="0" customWidth="1"/>
    <x:col min="24" max="24" width="12" hidden="0" customWidth="1"/>
  </x:cols>
  <x:sheetData>
    <x:row r="2" ht="24" customHeight="1">
      <x:c r="A2" s="36" t="str">
        <x:v>全部 108 条原始报告与核对计算</x:v>
      </x:c>
      <x:c r="B2" s="35"/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5"/>
      <x:c r="N2" s="35"/>
      <x:c r="O2" s="35"/>
      <x:c r="P2" s="35"/>
      <x:c r="Q2" s="35"/>
      <x:c r="R2" s="35"/>
      <x:c r="S2" s="35"/>
      <x:c r="T2" s="35"/>
      <x:c r="U2" s="35"/>
      <x:c r="V2" s="35"/>
      <x:c r="W2" s="35"/>
      <x:c r="X2" s="35"/>
    </x:row>
    <x:row r="3" ht="24" customHeight="1">
      <x:c r="A3" s="37" t="str">
        <x:v>数值列保留原日志记录；P–V 为公式，字节核对按本次 4 bytes/int。H–K 的 -2 表示无邻居，N–O 的 -1 表示无推荐。</x:v>
      </x:c>
      <x:c r="B3" s="35"/>
      <x:c r="C3" s="35"/>
      <x:c r="D3" s="35"/>
      <x:c r="E3" s="35"/>
      <x:c r="F3" s="35"/>
      <x:c r="G3" s="35"/>
      <x:c r="H3" s="35"/>
      <x:c r="I3" s="35"/>
      <x:c r="J3" s="35"/>
      <x:c r="K3" s="35"/>
      <x:c r="L3" s="35"/>
      <x:c r="M3" s="35"/>
      <x:c r="N3" s="35"/>
      <x:c r="O3" s="35"/>
      <x:c r="P3" s="35"/>
      <x:c r="Q3" s="35"/>
      <x:c r="R3" s="35"/>
      <x:c r="S3" s="35"/>
      <x:c r="T3" s="35"/>
      <x:c r="U3" s="35"/>
      <x:c r="V3" s="35"/>
      <x:c r="W3" s="35"/>
      <x:c r="X3" s="35"/>
    </x:row>
    <x:row r="4" ht="30" customHeight="1">
      <x:c r="A4" s="43" t="str">
        <x:v>Version</x:v>
      </x:c>
      <x:c r="B4" s="44" t="str">
        <x:v>Alert ID</x:v>
      </x:c>
      <x:c r="C4" s="44" t="str">
        <x:v>时间 (s)</x:v>
      </x:c>
      <x:c r="D4" s="44" t="str">
        <x:v>World rank</x:v>
      </x:c>
      <x:c r="E4" s="44" t="str">
        <x:v>行坐标</x:v>
      </x:c>
      <x:c r="F4" s="44" t="str">
        <x:v>列坐标</x:v>
      </x:c>
      <x:c r="G4" s="44" t="str">
        <x:v>自身空位</x:v>
      </x:c>
      <x:c r="H4" s="44" t="str">
        <x:v>上邻居空位</x:v>
      </x:c>
      <x:c r="I4" s="44" t="str">
        <x:v>下邻居空位</x:v>
      </x:c>
      <x:c r="J4" s="44" t="str">
        <x:v>左邻居空位</x:v>
      </x:c>
      <x:c r="K4" s="44" t="str">
        <x:v>右邻居空位</x:v>
      </x:c>
      <x:c r="L4" s="44" t="str">
        <x:v>记录消息数</x:v>
      </x:c>
      <x:c r="M4" s="44" t="str">
        <x:v>记录字节数</x:v>
      </x:c>
      <x:c r="N4" s="44" t="str">
        <x:v>推荐行</x:v>
      </x:c>
      <x:c r="O4" s="44" t="str">
        <x:v>推荐列</x:v>
      </x:c>
      <x:c r="P4" s="44" t="str">
        <x:v>有效邻居数</x:v>
      </x:c>
      <x:c r="Q4" s="44" t="str">
        <x:v>预期消息数</x:v>
      </x:c>
      <x:c r="R4" s="44" t="str">
        <x:v>预期字节数</x:v>
      </x:c>
      <x:c r="S4" s="44" t="str">
        <x:v>自身&gt;2</x:v>
      </x:c>
      <x:c r="T4" s="44" t="str">
        <x:v>邻居&gt;2</x:v>
      </x:c>
      <x:c r="U4" s="44" t="str">
        <x:v>消息数不符</x:v>
      </x:c>
      <x:c r="V4" s="44" t="str">
        <x:v>字节数不符</x:v>
      </x:c>
      <x:c r="W4" s="44" t="str">
        <x:v>来源文件</x:v>
      </x:c>
      <x:c r="X4" s="45" t="str">
        <x:v>来源行号</x:v>
      </x:c>
    </x:row>
    <x:row r="5" ht="24" customHeight="1">
      <x:c r="A5" s="35" t="str">
        <x:v>V1</x:v>
      </x:c>
      <x:c r="B5" s="48" t="n">
        <x:v>1</x:v>
      </x:c>
      <x:c r="C5" s="49" t="n">
        <x:v>3.04</x:v>
      </x:c>
      <x:c r="D5" s="48" t="n">
        <x:v>0</x:v>
      </x:c>
      <x:c r="E5" s="48" t="n">
        <x:v>0</x:v>
      </x:c>
      <x:c r="F5" s="48" t="n">
        <x:v>0</x:v>
      </x:c>
      <x:c r="G5" s="48" t="n">
        <x:v>1</x:v>
      </x:c>
      <x:c r="H5" s="48" t="n">
        <x:v>-2</x:v>
      </x:c>
      <x:c r="I5" s="48" t="n">
        <x:v>1</x:v>
      </x:c>
      <x:c r="J5" s="48" t="n">
        <x:v>-2</x:v>
      </x:c>
      <x:c r="K5" s="48" t="n">
        <x:v>0</x:v>
      </x:c>
      <x:c r="L5" s="48" t="n">
        <x:v>4</x:v>
      </x:c>
      <x:c r="M5" s="48" t="n">
        <x:v>16</x:v>
      </x:c>
      <x:c r="N5" s="48" t="n">
        <x:v>0</x:v>
      </x:c>
      <x:c r="O5" s="48" t="n">
        <x:v>2</x:v>
      </x:c>
      <x:c r="P5" s="54" t="n">
        <x:f>COUNTIFS(H5:K5,"&gt;=0")</x:f>
        <x:v>2</x:v>
      </x:c>
      <x:c r="Q5" s="54" t="n">
        <x:f>P5*2</x:f>
        <x:v>4</x:v>
      </x:c>
      <x:c r="R5" s="54" t="n">
        <x:f>Q5*4</x:f>
        <x:v>16</x:v>
      </x:c>
      <x:c r="S5" s="54" t="n">
        <x:f>IF(G5&gt;2,1,0)</x:f>
        <x:v>0</x:v>
      </x:c>
      <x:c r="T5" s="54" t="n">
        <x:f>IF(MAX(H5:K5)&gt;2,1,0)</x:f>
        <x:v>0</x:v>
      </x:c>
      <x:c r="U5" s="54" t="n">
        <x:f>IF(L5&lt;&gt;Q5,1,0)</x:f>
        <x:v>0</x:v>
      </x:c>
      <x:c r="V5" s="54" t="n">
        <x:f>IF(M5&lt;&gt;R5,1,0)</x:f>
        <x:v>0</x:v>
      </x:c>
      <x:c r="W5" s="35" t="str">
        <x:v>v1/log.txt</x:v>
      </x:c>
      <x:c r="X5" s="46" t="n">
        <x:v>2</x:v>
      </x:c>
    </x:row>
    <x:row r="6" ht="24" customHeight="1">
      <x:c r="A6" s="50" t="str">
        <x:v>V1</x:v>
      </x:c>
      <x:c r="B6" s="51" t="n">
        <x:v>2</x:v>
      </x:c>
      <x:c r="C6" s="52" t="n">
        <x:v>3.04</x:v>
      </x:c>
      <x:c r="D6" s="51" t="n">
        <x:v>1</x:v>
      </x:c>
      <x:c r="E6" s="51" t="n">
        <x:v>0</x:v>
      </x:c>
      <x:c r="F6" s="51" t="n">
        <x:v>1</x:v>
      </x:c>
      <x:c r="G6" s="51" t="n">
        <x:v>0</x:v>
      </x:c>
      <x:c r="H6" s="51" t="n">
        <x:v>-2</x:v>
      </x:c>
      <x:c r="I6" s="51" t="n">
        <x:v>1</x:v>
      </x:c>
      <x:c r="J6" s="51" t="n">
        <x:v>1</x:v>
      </x:c>
      <x:c r="K6" s="51" t="n">
        <x:v>2</x:v>
      </x:c>
      <x:c r="L6" s="51" t="n">
        <x:v>6</x:v>
      </x:c>
      <x:c r="M6" s="51" t="n">
        <x:v>24</x:v>
      </x:c>
      <x:c r="N6" s="51" t="n">
        <x:v>1</x:v>
      </x:c>
      <x:c r="O6" s="51" t="n">
        <x:v>2</x:v>
      </x:c>
      <x:c r="P6" s="55" t="n">
        <x:f>COUNTIFS(H6:K6,"&gt;=0")</x:f>
        <x:v>3</x:v>
      </x:c>
      <x:c r="Q6" s="55" t="n">
        <x:f>P6*2</x:f>
        <x:v>6</x:v>
      </x:c>
      <x:c r="R6" s="55" t="n">
        <x:f>Q6*4</x:f>
        <x:v>24</x:v>
      </x:c>
      <x:c r="S6" s="55" t="n">
        <x:f>IF(G6&gt;2,1,0)</x:f>
        <x:v>0</x:v>
      </x:c>
      <x:c r="T6" s="55" t="n">
        <x:f>IF(MAX(H6:K6)&gt;2,1,0)</x:f>
        <x:v>0</x:v>
      </x:c>
      <x:c r="U6" s="55" t="n">
        <x:f>IF(L6&lt;&gt;Q6,1,0)</x:f>
        <x:v>0</x:v>
      </x:c>
      <x:c r="V6" s="55" t="n">
        <x:f>IF(M6&lt;&gt;R6,1,0)</x:f>
        <x:v>0</x:v>
      </x:c>
      <x:c r="W6" s="50" t="str">
        <x:v>v1/log.txt</x:v>
      </x:c>
      <x:c r="X6" s="53" t="n">
        <x:v>9</x:v>
      </x:c>
    </x:row>
    <x:row r="7" ht="24" customHeight="1">
      <x:c r="A7" s="35" t="str">
        <x:v>V1</x:v>
      </x:c>
      <x:c r="B7" s="48" t="n">
        <x:v>3</x:v>
      </x:c>
      <x:c r="C7" s="49" t="n">
        <x:v>6.04</x:v>
      </x:c>
      <x:c r="D7" s="48" t="n">
        <x:v>5</x:v>
      </x:c>
      <x:c r="E7" s="48" t="n">
        <x:v>1</x:v>
      </x:c>
      <x:c r="F7" s="48" t="n">
        <x:v>2</x:v>
      </x:c>
      <x:c r="G7" s="48" t="n">
        <x:v>1</x:v>
      </x:c>
      <x:c r="H7" s="48" t="n">
        <x:v>1</x:v>
      </x:c>
      <x:c r="I7" s="48" t="n">
        <x:v>2</x:v>
      </x:c>
      <x:c r="J7" s="48" t="n">
        <x:v>2</x:v>
      </x:c>
      <x:c r="K7" s="48" t="n">
        <x:v>-2</x:v>
      </x:c>
      <x:c r="L7" s="48" t="n">
        <x:v>6</x:v>
      </x:c>
      <x:c r="M7" s="48" t="n">
        <x:v>24</x:v>
      </x:c>
      <x:c r="N7" s="48" t="n">
        <x:v>2</x:v>
      </x:c>
      <x:c r="O7" s="48" t="n">
        <x:v>1</x:v>
      </x:c>
      <x:c r="P7" s="54" t="n">
        <x:f>COUNTIFS(H7:K7,"&gt;=0")</x:f>
        <x:v>3</x:v>
      </x:c>
      <x:c r="Q7" s="54" t="n">
        <x:f>P7*2</x:f>
        <x:v>6</x:v>
      </x:c>
      <x:c r="R7" s="54" t="n">
        <x:f>Q7*4</x:f>
        <x:v>24</x:v>
      </x:c>
      <x:c r="S7" s="54" t="n">
        <x:f>IF(G7&gt;2,1,0)</x:f>
        <x:v>0</x:v>
      </x:c>
      <x:c r="T7" s="54" t="n">
        <x:f>IF(MAX(H7:K7)&gt;2,1,0)</x:f>
        <x:v>0</x:v>
      </x:c>
      <x:c r="U7" s="54" t="n">
        <x:f>IF(L7&lt;&gt;Q7,1,0)</x:f>
        <x:v>0</x:v>
      </x:c>
      <x:c r="V7" s="54" t="n">
        <x:f>IF(M7&lt;&gt;R7,1,0)</x:f>
        <x:v>0</x:v>
      </x:c>
      <x:c r="W7" s="35" t="str">
        <x:v>v1/log.txt</x:v>
      </x:c>
      <x:c r="X7" s="46" t="n">
        <x:v>16</x:v>
      </x:c>
    </x:row>
    <x:row r="8" ht="24" customHeight="1">
      <x:c r="A8" s="50" t="str">
        <x:v>V1</x:v>
      </x:c>
      <x:c r="B8" s="51" t="n">
        <x:v>4</x:v>
      </x:c>
      <x:c r="C8" s="52" t="n">
        <x:v>6.04</x:v>
      </x:c>
      <x:c r="D8" s="51" t="n">
        <x:v>7</x:v>
      </x:c>
      <x:c r="E8" s="51" t="n">
        <x:v>2</x:v>
      </x:c>
      <x:c r="F8" s="51" t="n">
        <x:v>1</x:v>
      </x:c>
      <x:c r="G8" s="51" t="n">
        <x:v>2</x:v>
      </x:c>
      <x:c r="H8" s="51" t="n">
        <x:v>1</x:v>
      </x:c>
      <x:c r="I8" s="51" t="n">
        <x:v>-2</x:v>
      </x:c>
      <x:c r="J8" s="51" t="n">
        <x:v>0</x:v>
      </x:c>
      <x:c r="K8" s="51" t="n">
        <x:v>2</x:v>
      </x:c>
      <x:c r="L8" s="51" t="n">
        <x:v>6</x:v>
      </x:c>
      <x:c r="M8" s="51" t="n">
        <x:v>24</x:v>
      </x:c>
      <x:c r="N8" s="51" t="n">
        <x:v>-1</x:v>
      </x:c>
      <x:c r="O8" s="51" t="n">
        <x:v>-1</x:v>
      </x:c>
      <x:c r="P8" s="55" t="n">
        <x:f>COUNTIFS(H8:K8,"&gt;=0")</x:f>
        <x:v>3</x:v>
      </x:c>
      <x:c r="Q8" s="55" t="n">
        <x:f>P8*2</x:f>
        <x:v>6</x:v>
      </x:c>
      <x:c r="R8" s="55" t="n">
        <x:f>Q8*4</x:f>
        <x:v>24</x:v>
      </x:c>
      <x:c r="S8" s="55" t="n">
        <x:f>IF(G8&gt;2,1,0)</x:f>
        <x:v>0</x:v>
      </x:c>
      <x:c r="T8" s="55" t="n">
        <x:f>IF(MAX(H8:K8)&gt;2,1,0)</x:f>
        <x:v>0</x:v>
      </x:c>
      <x:c r="U8" s="55" t="n">
        <x:f>IF(L8&lt;&gt;Q8,1,0)</x:f>
        <x:v>0</x:v>
      </x:c>
      <x:c r="V8" s="55" t="n">
        <x:f>IF(M8&lt;&gt;R8,1,0)</x:f>
        <x:v>0</x:v>
      </x:c>
      <x:c r="W8" s="50" t="str">
        <x:v>v1/log.txt</x:v>
      </x:c>
      <x:c r="X8" s="53" t="n">
        <x:v>23</x:v>
      </x:c>
    </x:row>
    <x:row r="9" ht="24" customHeight="1">
      <x:c r="A9" s="35" t="str">
        <x:v>V1</x:v>
      </x:c>
      <x:c r="B9" s="48" t="n">
        <x:v>5</x:v>
      </x:c>
      <x:c r="C9" s="49" t="n">
        <x:v>6.04</x:v>
      </x:c>
      <x:c r="D9" s="48" t="n">
        <x:v>4</x:v>
      </x:c>
      <x:c r="E9" s="48" t="n">
        <x:v>1</x:v>
      </x:c>
      <x:c r="F9" s="48" t="n">
        <x:v>1</x:v>
      </x:c>
      <x:c r="G9" s="48" t="n">
        <x:v>1</x:v>
      </x:c>
      <x:c r="H9" s="48" t="n">
        <x:v>1</x:v>
      </x:c>
      <x:c r="I9" s="48" t="n">
        <x:v>2</x:v>
      </x:c>
      <x:c r="J9" s="48" t="n">
        <x:v>1</x:v>
      </x:c>
      <x:c r="K9" s="48" t="n">
        <x:v>1</x:v>
      </x:c>
      <x:c r="L9" s="48" t="n">
        <x:v>8</x:v>
      </x:c>
      <x:c r="M9" s="48" t="n">
        <x:v>32</x:v>
      </x:c>
      <x:c r="N9" s="48" t="n">
        <x:v>-1</x:v>
      </x:c>
      <x:c r="O9" s="48" t="n">
        <x:v>-1</x:v>
      </x:c>
      <x:c r="P9" s="54" t="n">
        <x:f>COUNTIFS(H9:K9,"&gt;=0")</x:f>
        <x:v>4</x:v>
      </x:c>
      <x:c r="Q9" s="54" t="n">
        <x:f>P9*2</x:f>
        <x:v>8</x:v>
      </x:c>
      <x:c r="R9" s="54" t="n">
        <x:f>Q9*4</x:f>
        <x:v>32</x:v>
      </x:c>
      <x:c r="S9" s="54" t="n">
        <x:f>IF(G9&gt;2,1,0)</x:f>
        <x:v>0</x:v>
      </x:c>
      <x:c r="T9" s="54" t="n">
        <x:f>IF(MAX(H9:K9)&gt;2,1,0)</x:f>
        <x:v>0</x:v>
      </x:c>
      <x:c r="U9" s="54" t="n">
        <x:f>IF(L9&lt;&gt;Q9,1,0)</x:f>
        <x:v>0</x:v>
      </x:c>
      <x:c r="V9" s="54" t="n">
        <x:f>IF(M9&lt;&gt;R9,1,0)</x:f>
        <x:v>0</x:v>
      </x:c>
      <x:c r="W9" s="35" t="str">
        <x:v>v1/log.txt</x:v>
      </x:c>
      <x:c r="X9" s="46" t="n">
        <x:v>30</x:v>
      </x:c>
    </x:row>
    <x:row r="10" ht="24" customHeight="1">
      <x:c r="A10" s="50" t="str">
        <x:v>V1</x:v>
      </x:c>
      <x:c r="B10" s="51" t="n">
        <x:v>6</x:v>
      </x:c>
      <x:c r="C10" s="52" t="n">
        <x:v>6.05</x:v>
      </x:c>
      <x:c r="D10" s="51" t="n">
        <x:v>2</x:v>
      </x:c>
      <x:c r="E10" s="51" t="n">
        <x:v>0</x:v>
      </x:c>
      <x:c r="F10" s="51" t="n">
        <x:v>2</x:v>
      </x:c>
      <x:c r="G10" s="51" t="n">
        <x:v>0</x:v>
      </x:c>
      <x:c r="H10" s="51" t="n">
        <x:v>-2</x:v>
      </x:c>
      <x:c r="I10" s="51" t="n">
        <x:v>1</x:v>
      </x:c>
      <x:c r="J10" s="51" t="n">
        <x:v>1</x:v>
      </x:c>
      <x:c r="K10" s="51" t="n">
        <x:v>-2</x:v>
      </x:c>
      <x:c r="L10" s="51" t="n">
        <x:v>4</x:v>
      </x:c>
      <x:c r="M10" s="51" t="n">
        <x:v>16</x:v>
      </x:c>
      <x:c r="N10" s="51" t="n">
        <x:v>-1</x:v>
      </x:c>
      <x:c r="O10" s="51" t="n">
        <x:v>-1</x:v>
      </x:c>
      <x:c r="P10" s="55" t="n">
        <x:f>COUNTIFS(H10:K10,"&gt;=0")</x:f>
        <x:v>2</x:v>
      </x:c>
      <x:c r="Q10" s="55" t="n">
        <x:f>P10*2</x:f>
        <x:v>4</x:v>
      </x:c>
      <x:c r="R10" s="55" t="n">
        <x:f>Q10*4</x:f>
        <x:v>16</x:v>
      </x:c>
      <x:c r="S10" s="55" t="n">
        <x:f>IF(G10&gt;2,1,0)</x:f>
        <x:v>0</x:v>
      </x:c>
      <x:c r="T10" s="55" t="n">
        <x:f>IF(MAX(H10:K10)&gt;2,1,0)</x:f>
        <x:v>0</x:v>
      </x:c>
      <x:c r="U10" s="55" t="n">
        <x:f>IF(L10&lt;&gt;Q10,1,0)</x:f>
        <x:v>0</x:v>
      </x:c>
      <x:c r="V10" s="55" t="n">
        <x:f>IF(M10&lt;&gt;R10,1,0)</x:f>
        <x:v>0</x:v>
      </x:c>
      <x:c r="W10" s="50" t="str">
        <x:v>v1/log.txt</x:v>
      </x:c>
      <x:c r="X10" s="53" t="n">
        <x:v>37</x:v>
      </x:c>
    </x:row>
    <x:row r="11" ht="24" customHeight="1">
      <x:c r="A11" s="35" t="str">
        <x:v>V1</x:v>
      </x:c>
      <x:c r="B11" s="48" t="n">
        <x:v>7</x:v>
      </x:c>
      <x:c r="C11" s="49" t="n">
        <x:v>9.04</x:v>
      </x:c>
      <x:c r="D11" s="48" t="n">
        <x:v>5</x:v>
      </x:c>
      <x:c r="E11" s="48" t="n">
        <x:v>1</x:v>
      </x:c>
      <x:c r="F11" s="48" t="n">
        <x:v>2</x:v>
      </x:c>
      <x:c r="G11" s="48" t="n">
        <x:v>0</x:v>
      </x:c>
      <x:c r="H11" s="48" t="n">
        <x:v>2</x:v>
      </x:c>
      <x:c r="I11" s="48" t="n">
        <x:v>2</x:v>
      </x:c>
      <x:c r="J11" s="48" t="n">
        <x:v>1</x:v>
      </x:c>
      <x:c r="K11" s="48" t="n">
        <x:v>-2</x:v>
      </x:c>
      <x:c r="L11" s="48" t="n">
        <x:v>6</x:v>
      </x:c>
      <x:c r="M11" s="48" t="n">
        <x:v>24</x:v>
      </x:c>
      <x:c r="N11" s="48" t="n">
        <x:v>-1</x:v>
      </x:c>
      <x:c r="O11" s="48" t="n">
        <x:v>-1</x:v>
      </x:c>
      <x:c r="P11" s="54" t="n">
        <x:f>COUNTIFS(H11:K11,"&gt;=0")</x:f>
        <x:v>3</x:v>
      </x:c>
      <x:c r="Q11" s="54" t="n">
        <x:f>P11*2</x:f>
        <x:v>6</x:v>
      </x:c>
      <x:c r="R11" s="54" t="n">
        <x:f>Q11*4</x:f>
        <x:v>24</x:v>
      </x:c>
      <x:c r="S11" s="54" t="n">
        <x:f>IF(G11&gt;2,1,0)</x:f>
        <x:v>0</x:v>
      </x:c>
      <x:c r="T11" s="54" t="n">
        <x:f>IF(MAX(H11:K11)&gt;2,1,0)</x:f>
        <x:v>0</x:v>
      </x:c>
      <x:c r="U11" s="54" t="n">
        <x:f>IF(L11&lt;&gt;Q11,1,0)</x:f>
        <x:v>0</x:v>
      </x:c>
      <x:c r="V11" s="54" t="n">
        <x:f>IF(M11&lt;&gt;R11,1,0)</x:f>
        <x:v>0</x:v>
      </x:c>
      <x:c r="W11" s="35" t="str">
        <x:v>v1/log.txt</x:v>
      </x:c>
      <x:c r="X11" s="46" t="n">
        <x:v>44</x:v>
      </x:c>
    </x:row>
    <x:row r="12" ht="24" customHeight="1">
      <x:c r="A12" s="50" t="str">
        <x:v>V1</x:v>
      </x:c>
      <x:c r="B12" s="51" t="n">
        <x:v>8</x:v>
      </x:c>
      <x:c r="C12" s="52" t="n">
        <x:v>9.04</x:v>
      </x:c>
      <x:c r="D12" s="51" t="n">
        <x:v>7</x:v>
      </x:c>
      <x:c r="E12" s="51" t="n">
        <x:v>2</x:v>
      </x:c>
      <x:c r="F12" s="51" t="n">
        <x:v>1</x:v>
      </x:c>
      <x:c r="G12" s="51" t="n">
        <x:v>1</x:v>
      </x:c>
      <x:c r="H12" s="51" t="n">
        <x:v>1</x:v>
      </x:c>
      <x:c r="I12" s="51" t="n">
        <x:v>-2</x:v>
      </x:c>
      <x:c r="J12" s="51" t="n">
        <x:v>2</x:v>
      </x:c>
      <x:c r="K12" s="51" t="n">
        <x:v>2</x:v>
      </x:c>
      <x:c r="L12" s="51" t="n">
        <x:v>6</x:v>
      </x:c>
      <x:c r="M12" s="51" t="n">
        <x:v>24</x:v>
      </x:c>
      <x:c r="N12" s="51" t="n">
        <x:v>-1</x:v>
      </x:c>
      <x:c r="O12" s="51" t="n">
        <x:v>-1</x:v>
      </x:c>
      <x:c r="P12" s="55" t="n">
        <x:f>COUNTIFS(H12:K12,"&gt;=0")</x:f>
        <x:v>3</x:v>
      </x:c>
      <x:c r="Q12" s="55" t="n">
        <x:f>P12*2</x:f>
        <x:v>6</x:v>
      </x:c>
      <x:c r="R12" s="55" t="n">
        <x:f>Q12*4</x:f>
        <x:v>24</x:v>
      </x:c>
      <x:c r="S12" s="55" t="n">
        <x:f>IF(G12&gt;2,1,0)</x:f>
        <x:v>0</x:v>
      </x:c>
      <x:c r="T12" s="55" t="n">
        <x:f>IF(MAX(H12:K12)&gt;2,1,0)</x:f>
        <x:v>0</x:v>
      </x:c>
      <x:c r="U12" s="55" t="n">
        <x:f>IF(L12&lt;&gt;Q12,1,0)</x:f>
        <x:v>0</x:v>
      </x:c>
      <x:c r="V12" s="55" t="n">
        <x:f>IF(M12&lt;&gt;R12,1,0)</x:f>
        <x:v>0</x:v>
      </x:c>
      <x:c r="W12" s="50" t="str">
        <x:v>v1/log.txt</x:v>
      </x:c>
      <x:c r="X12" s="53" t="n">
        <x:v>51</x:v>
      </x:c>
    </x:row>
    <x:row r="13" ht="24" customHeight="1">
      <x:c r="A13" s="35" t="str">
        <x:v>V1</x:v>
      </x:c>
      <x:c r="B13" s="48" t="n">
        <x:v>9</x:v>
      </x:c>
      <x:c r="C13" s="49" t="n">
        <x:v>9.05</x:v>
      </x:c>
      <x:c r="D13" s="48" t="n">
        <x:v>8</x:v>
      </x:c>
      <x:c r="E13" s="48" t="n">
        <x:v>2</x:v>
      </x:c>
      <x:c r="F13" s="48" t="n">
        <x:v>2</x:v>
      </x:c>
      <x:c r="G13" s="48" t="n">
        <x:v>2</x:v>
      </x:c>
      <x:c r="H13" s="48" t="n">
        <x:v>0</x:v>
      </x:c>
      <x:c r="I13" s="48" t="n">
        <x:v>-2</x:v>
      </x:c>
      <x:c r="J13" s="48" t="n">
        <x:v>1</x:v>
      </x:c>
      <x:c r="K13" s="48" t="n">
        <x:v>-2</x:v>
      </x:c>
      <x:c r="L13" s="48" t="n">
        <x:v>4</x:v>
      </x:c>
      <x:c r="M13" s="48" t="n">
        <x:v>16</x:v>
      </x:c>
      <x:c r="N13" s="48" t="n">
        <x:v>-1</x:v>
      </x:c>
      <x:c r="O13" s="48" t="n">
        <x:v>-1</x:v>
      </x:c>
      <x:c r="P13" s="54" t="n">
        <x:f>COUNTIFS(H13:K13,"&gt;=0")</x:f>
        <x:v>2</x:v>
      </x:c>
      <x:c r="Q13" s="54" t="n">
        <x:f>P13*2</x:f>
        <x:v>4</x:v>
      </x:c>
      <x:c r="R13" s="54" t="n">
        <x:f>Q13*4</x:f>
        <x:v>16</x:v>
      </x:c>
      <x:c r="S13" s="54" t="n">
        <x:f>IF(G13&gt;2,1,0)</x:f>
        <x:v>0</x:v>
      </x:c>
      <x:c r="T13" s="54" t="n">
        <x:f>IF(MAX(H13:K13)&gt;2,1,0)</x:f>
        <x:v>0</x:v>
      </x:c>
      <x:c r="U13" s="54" t="n">
        <x:f>IF(L13&lt;&gt;Q13,1,0)</x:f>
        <x:v>0</x:v>
      </x:c>
      <x:c r="V13" s="54" t="n">
        <x:f>IF(M13&lt;&gt;R13,1,0)</x:f>
        <x:v>0</x:v>
      </x:c>
      <x:c r="W13" s="35" t="str">
        <x:v>v1/log.txt</x:v>
      </x:c>
      <x:c r="X13" s="46" t="n">
        <x:v>59</x:v>
      </x:c>
    </x:row>
    <x:row r="14" ht="24" customHeight="1">
      <x:c r="A14" s="50" t="str">
        <x:v>V1</x:v>
      </x:c>
      <x:c r="B14" s="51" t="n">
        <x:v>10</x:v>
      </x:c>
      <x:c r="C14" s="52" t="n">
        <x:v>9.05</x:v>
      </x:c>
      <x:c r="D14" s="51" t="n">
        <x:v>1</x:v>
      </x:c>
      <x:c r="E14" s="51" t="n">
        <x:v>0</x:v>
      </x:c>
      <x:c r="F14" s="51" t="n">
        <x:v>1</x:v>
      </x:c>
      <x:c r="G14" s="51" t="n">
        <x:v>0</x:v>
      </x:c>
      <x:c r="H14" s="51" t="n">
        <x:v>-2</x:v>
      </x:c>
      <x:c r="I14" s="51" t="n">
        <x:v>1</x:v>
      </x:c>
      <x:c r="J14" s="51" t="n">
        <x:v>1</x:v>
      </x:c>
      <x:c r="K14" s="51" t="n">
        <x:v>2</x:v>
      </x:c>
      <x:c r="L14" s="51" t="n">
        <x:v>6</x:v>
      </x:c>
      <x:c r="M14" s="51" t="n">
        <x:v>24</x:v>
      </x:c>
      <x:c r="N14" s="51" t="n">
        <x:v>-1</x:v>
      </x:c>
      <x:c r="O14" s="51" t="n">
        <x:v>-1</x:v>
      </x:c>
      <x:c r="P14" s="55" t="n">
        <x:f>COUNTIFS(H14:K14,"&gt;=0")</x:f>
        <x:v>3</x:v>
      </x:c>
      <x:c r="Q14" s="55" t="n">
        <x:f>P14*2</x:f>
        <x:v>6</x:v>
      </x:c>
      <x:c r="R14" s="55" t="n">
        <x:f>Q14*4</x:f>
        <x:v>24</x:v>
      </x:c>
      <x:c r="S14" s="55" t="n">
        <x:f>IF(G14&gt;2,1,0)</x:f>
        <x:v>0</x:v>
      </x:c>
      <x:c r="T14" s="55" t="n">
        <x:f>IF(MAX(H14:K14)&gt;2,1,0)</x:f>
        <x:v>0</x:v>
      </x:c>
      <x:c r="U14" s="55" t="n">
        <x:f>IF(L14&lt;&gt;Q14,1,0)</x:f>
        <x:v>0</x:v>
      </x:c>
      <x:c r="V14" s="55" t="n">
        <x:f>IF(M14&lt;&gt;R14,1,0)</x:f>
        <x:v>0</x:v>
      </x:c>
      <x:c r="W14" s="50" t="str">
        <x:v>v1/log.txt</x:v>
      </x:c>
      <x:c r="X14" s="53" t="n">
        <x:v>66</x:v>
      </x:c>
    </x:row>
    <x:row r="15" ht="24" customHeight="1">
      <x:c r="A15" s="35" t="str">
        <x:v>V1</x:v>
      </x:c>
      <x:c r="B15" s="48" t="n">
        <x:v>11</x:v>
      </x:c>
      <x:c r="C15" s="49" t="n">
        <x:v>9.05</x:v>
      </x:c>
      <x:c r="D15" s="48" t="n">
        <x:v>2</x:v>
      </x:c>
      <x:c r="E15" s="48" t="n">
        <x:v>0</x:v>
      </x:c>
      <x:c r="F15" s="48" t="n">
        <x:v>2</x:v>
      </x:c>
      <x:c r="G15" s="48" t="n">
        <x:v>2</x:v>
      </x:c>
      <x:c r="H15" s="48" t="n">
        <x:v>-2</x:v>
      </x:c>
      <x:c r="I15" s="48" t="n">
        <x:v>0</x:v>
      </x:c>
      <x:c r="J15" s="48" t="n">
        <x:v>0</x:v>
      </x:c>
      <x:c r="K15" s="48" t="n">
        <x:v>-2</x:v>
      </x:c>
      <x:c r="L15" s="48" t="n">
        <x:v>4</x:v>
      </x:c>
      <x:c r="M15" s="48" t="n">
        <x:v>16</x:v>
      </x:c>
      <x:c r="N15" s="48" t="n">
        <x:v>-1</x:v>
      </x:c>
      <x:c r="O15" s="48" t="n">
        <x:v>-1</x:v>
      </x:c>
      <x:c r="P15" s="54" t="n">
        <x:f>COUNTIFS(H15:K15,"&gt;=0")</x:f>
        <x:v>2</x:v>
      </x:c>
      <x:c r="Q15" s="54" t="n">
        <x:f>P15*2</x:f>
        <x:v>4</x:v>
      </x:c>
      <x:c r="R15" s="54" t="n">
        <x:f>Q15*4</x:f>
        <x:v>16</x:v>
      </x:c>
      <x:c r="S15" s="54" t="n">
        <x:f>IF(G15&gt;2,1,0)</x:f>
        <x:v>0</x:v>
      </x:c>
      <x:c r="T15" s="54" t="n">
        <x:f>IF(MAX(H15:K15)&gt;2,1,0)</x:f>
        <x:v>0</x:v>
      </x:c>
      <x:c r="U15" s="54" t="n">
        <x:f>IF(L15&lt;&gt;Q15,1,0)</x:f>
        <x:v>0</x:v>
      </x:c>
      <x:c r="V15" s="54" t="n">
        <x:f>IF(M15&lt;&gt;R15,1,0)</x:f>
        <x:v>0</x:v>
      </x:c>
      <x:c r="W15" s="35" t="str">
        <x:v>v1/log.txt</x:v>
      </x:c>
      <x:c r="X15" s="46" t="n">
        <x:v>74</x:v>
      </x:c>
    </x:row>
    <x:row r="16" ht="24" customHeight="1">
      <x:c r="A16" s="50" t="str">
        <x:v>V1</x:v>
      </x:c>
      <x:c r="B16" s="51" t="n">
        <x:v>12</x:v>
      </x:c>
      <x:c r="C16" s="52" t="n">
        <x:v>12.04</x:v>
      </x:c>
      <x:c r="D16" s="51" t="n">
        <x:v>0</x:v>
      </x:c>
      <x:c r="E16" s="51" t="n">
        <x:v>0</x:v>
      </x:c>
      <x:c r="F16" s="51" t="n">
        <x:v>0</x:v>
      </x:c>
      <x:c r="G16" s="51" t="n">
        <x:v>2</x:v>
      </x:c>
      <x:c r="H16" s="51" t="n">
        <x:v>-2</x:v>
      </x:c>
      <x:c r="I16" s="51" t="n">
        <x:v>2</x:v>
      </x:c>
      <x:c r="J16" s="51" t="n">
        <x:v>-2</x:v>
      </x:c>
      <x:c r="K16" s="51" t="n">
        <x:v>0</x:v>
      </x:c>
      <x:c r="L16" s="51" t="n">
        <x:v>4</x:v>
      </x:c>
      <x:c r="M16" s="51" t="n">
        <x:v>16</x:v>
      </x:c>
      <x:c r="N16" s="51" t="n">
        <x:v>-1</x:v>
      </x:c>
      <x:c r="O16" s="51" t="n">
        <x:v>-1</x:v>
      </x:c>
      <x:c r="P16" s="55" t="n">
        <x:f>COUNTIFS(H16:K16,"&gt;=0")</x:f>
        <x:v>2</x:v>
      </x:c>
      <x:c r="Q16" s="55" t="n">
        <x:f>P16*2</x:f>
        <x:v>4</x:v>
      </x:c>
      <x:c r="R16" s="55" t="n">
        <x:f>Q16*4</x:f>
        <x:v>16</x:v>
      </x:c>
      <x:c r="S16" s="55" t="n">
        <x:f>IF(G16&gt;2,1,0)</x:f>
        <x:v>0</x:v>
      </x:c>
      <x:c r="T16" s="55" t="n">
        <x:f>IF(MAX(H16:K16)&gt;2,1,0)</x:f>
        <x:v>0</x:v>
      </x:c>
      <x:c r="U16" s="55" t="n">
        <x:f>IF(L16&lt;&gt;Q16,1,0)</x:f>
        <x:v>0</x:v>
      </x:c>
      <x:c r="V16" s="55" t="n">
        <x:f>IF(M16&lt;&gt;R16,1,0)</x:f>
        <x:v>0</x:v>
      </x:c>
      <x:c r="W16" s="50" t="str">
        <x:v>v1/log.txt</x:v>
      </x:c>
      <x:c r="X16" s="53" t="n">
        <x:v>81</x:v>
      </x:c>
    </x:row>
    <x:row r="17" ht="24" customHeight="1">
      <x:c r="A17" s="35" t="str">
        <x:v>V1</x:v>
      </x:c>
      <x:c r="B17" s="48" t="n">
        <x:v>13</x:v>
      </x:c>
      <x:c r="C17" s="49" t="n">
        <x:v>15.05</x:v>
      </x:c>
      <x:c r="D17" s="48" t="n">
        <x:v>5</x:v>
      </x:c>
      <x:c r="E17" s="48" t="n">
        <x:v>1</x:v>
      </x:c>
      <x:c r="F17" s="48" t="n">
        <x:v>2</x:v>
      </x:c>
      <x:c r="G17" s="48" t="n">
        <x:v>1</x:v>
      </x:c>
      <x:c r="H17" s="48" t="n">
        <x:v>1</x:v>
      </x:c>
      <x:c r="I17" s="48" t="n">
        <x:v>2</x:v>
      </x:c>
      <x:c r="J17" s="48" t="n">
        <x:v>2</x:v>
      </x:c>
      <x:c r="K17" s="48" t="n">
        <x:v>-2</x:v>
      </x:c>
      <x:c r="L17" s="48" t="n">
        <x:v>6</x:v>
      </x:c>
      <x:c r="M17" s="48" t="n">
        <x:v>24</x:v>
      </x:c>
      <x:c r="N17" s="48" t="n">
        <x:v>-1</x:v>
      </x:c>
      <x:c r="O17" s="48" t="n">
        <x:v>-1</x:v>
      </x:c>
      <x:c r="P17" s="54" t="n">
        <x:f>COUNTIFS(H17:K17,"&gt;=0")</x:f>
        <x:v>3</x:v>
      </x:c>
      <x:c r="Q17" s="54" t="n">
        <x:f>P17*2</x:f>
        <x:v>6</x:v>
      </x:c>
      <x:c r="R17" s="54" t="n">
        <x:f>Q17*4</x:f>
        <x:v>24</x:v>
      </x:c>
      <x:c r="S17" s="54" t="n">
        <x:f>IF(G17&gt;2,1,0)</x:f>
        <x:v>0</x:v>
      </x:c>
      <x:c r="T17" s="54" t="n">
        <x:f>IF(MAX(H17:K17)&gt;2,1,0)</x:f>
        <x:v>0</x:v>
      </x:c>
      <x:c r="U17" s="54" t="n">
        <x:f>IF(L17&lt;&gt;Q17,1,0)</x:f>
        <x:v>0</x:v>
      </x:c>
      <x:c r="V17" s="54" t="n">
        <x:f>IF(M17&lt;&gt;R17,1,0)</x:f>
        <x:v>0</x:v>
      </x:c>
      <x:c r="W17" s="35" t="str">
        <x:v>v1/log.txt</x:v>
      </x:c>
      <x:c r="X17" s="46" t="n">
        <x:v>88</x:v>
      </x:c>
    </x:row>
    <x:row r="18" ht="24" customHeight="1">
      <x:c r="A18" s="50" t="str">
        <x:v>V1</x:v>
      </x:c>
      <x:c r="B18" s="51" t="n">
        <x:v>14</x:v>
      </x:c>
      <x:c r="C18" s="52" t="n">
        <x:v>15.05</x:v>
      </x:c>
      <x:c r="D18" s="51" t="n">
        <x:v>7</x:v>
      </x:c>
      <x:c r="E18" s="51" t="n">
        <x:v>2</x:v>
      </x:c>
      <x:c r="F18" s="51" t="n">
        <x:v>1</x:v>
      </x:c>
      <x:c r="G18" s="51" t="n">
        <x:v>0</x:v>
      </x:c>
      <x:c r="H18" s="51" t="n">
        <x:v>2</x:v>
      </x:c>
      <x:c r="I18" s="51" t="n">
        <x:v>-2</x:v>
      </x:c>
      <x:c r="J18" s="51" t="n">
        <x:v>1</x:v>
      </x:c>
      <x:c r="K18" s="51" t="n">
        <x:v>2</x:v>
      </x:c>
      <x:c r="L18" s="51" t="n">
        <x:v>6</x:v>
      </x:c>
      <x:c r="M18" s="51" t="n">
        <x:v>24</x:v>
      </x:c>
      <x:c r="N18" s="51" t="n">
        <x:v>-1</x:v>
      </x:c>
      <x:c r="O18" s="51" t="n">
        <x:v>-1</x:v>
      </x:c>
      <x:c r="P18" s="55" t="n">
        <x:f>COUNTIFS(H18:K18,"&gt;=0")</x:f>
        <x:v>3</x:v>
      </x:c>
      <x:c r="Q18" s="55" t="n">
        <x:f>P18*2</x:f>
        <x:v>6</x:v>
      </x:c>
      <x:c r="R18" s="55" t="n">
        <x:f>Q18*4</x:f>
        <x:v>24</x:v>
      </x:c>
      <x:c r="S18" s="55" t="n">
        <x:f>IF(G18&gt;2,1,0)</x:f>
        <x:v>0</x:v>
      </x:c>
      <x:c r="T18" s="55" t="n">
        <x:f>IF(MAX(H18:K18)&gt;2,1,0)</x:f>
        <x:v>0</x:v>
      </x:c>
      <x:c r="U18" s="55" t="n">
        <x:f>IF(L18&lt;&gt;Q18,1,0)</x:f>
        <x:v>0</x:v>
      </x:c>
      <x:c r="V18" s="55" t="n">
        <x:f>IF(M18&lt;&gt;R18,1,0)</x:f>
        <x:v>0</x:v>
      </x:c>
      <x:c r="W18" s="50" t="str">
        <x:v>v1/log.txt</x:v>
      </x:c>
      <x:c r="X18" s="53" t="n">
        <x:v>95</x:v>
      </x:c>
    </x:row>
    <x:row r="19" ht="24" customHeight="1">
      <x:c r="A19" s="35" t="str">
        <x:v>V1</x:v>
      </x:c>
      <x:c r="B19" s="48" t="n">
        <x:v>15</x:v>
      </x:c>
      <x:c r="C19" s="49" t="n">
        <x:v>15.05</x:v>
      </x:c>
      <x:c r="D19" s="48" t="n">
        <x:v>8</x:v>
      </x:c>
      <x:c r="E19" s="48" t="n">
        <x:v>2</x:v>
      </x:c>
      <x:c r="F19" s="48" t="n">
        <x:v>2</x:v>
      </x:c>
      <x:c r="G19" s="48" t="n">
        <x:v>2</x:v>
      </x:c>
      <x:c r="H19" s="48" t="n">
        <x:v>1</x:v>
      </x:c>
      <x:c r="I19" s="48" t="n">
        <x:v>-2</x:v>
      </x:c>
      <x:c r="J19" s="48" t="n">
        <x:v>0</x:v>
      </x:c>
      <x:c r="K19" s="48" t="n">
        <x:v>-2</x:v>
      </x:c>
      <x:c r="L19" s="48" t="n">
        <x:v>4</x:v>
      </x:c>
      <x:c r="M19" s="48" t="n">
        <x:v>16</x:v>
      </x:c>
      <x:c r="N19" s="48" t="n">
        <x:v>-1</x:v>
      </x:c>
      <x:c r="O19" s="48" t="n">
        <x:v>-1</x:v>
      </x:c>
      <x:c r="P19" s="54" t="n">
        <x:f>COUNTIFS(H19:K19,"&gt;=0")</x:f>
        <x:v>2</x:v>
      </x:c>
      <x:c r="Q19" s="54" t="n">
        <x:f>P19*2</x:f>
        <x:v>4</x:v>
      </x:c>
      <x:c r="R19" s="54" t="n">
        <x:f>Q19*4</x:f>
        <x:v>16</x:v>
      </x:c>
      <x:c r="S19" s="54" t="n">
        <x:f>IF(G19&gt;2,1,0)</x:f>
        <x:v>0</x:v>
      </x:c>
      <x:c r="T19" s="54" t="n">
        <x:f>IF(MAX(H19:K19)&gt;2,1,0)</x:f>
        <x:v>0</x:v>
      </x:c>
      <x:c r="U19" s="54" t="n">
        <x:f>IF(L19&lt;&gt;Q19,1,0)</x:f>
        <x:v>0</x:v>
      </x:c>
      <x:c r="V19" s="54" t="n">
        <x:f>IF(M19&lt;&gt;R19,1,0)</x:f>
        <x:v>0</x:v>
      </x:c>
      <x:c r="W19" s="35" t="str">
        <x:v>v1/log.txt</x:v>
      </x:c>
      <x:c r="X19" s="46" t="n">
        <x:v>103</x:v>
      </x:c>
    </x:row>
    <x:row r="20" ht="24" customHeight="1">
      <x:c r="A20" s="50" t="str">
        <x:v>V1</x:v>
      </x:c>
      <x:c r="B20" s="51" t="n">
        <x:v>16</x:v>
      </x:c>
      <x:c r="C20" s="52" t="n">
        <x:v>18.05</x:v>
      </x:c>
      <x:c r="D20" s="51" t="n">
        <x:v>6</x:v>
      </x:c>
      <x:c r="E20" s="51" t="n">
        <x:v>2</x:v>
      </x:c>
      <x:c r="F20" s="51" t="n">
        <x:v>0</x:v>
      </x:c>
      <x:c r="G20" s="51" t="n">
        <x:v>2</x:v>
      </x:c>
      <x:c r="H20" s="51" t="n">
        <x:v>2</x:v>
      </x:c>
      <x:c r="I20" s="51" t="n">
        <x:v>-2</x:v>
      </x:c>
      <x:c r="J20" s="51" t="n">
        <x:v>-2</x:v>
      </x:c>
      <x:c r="K20" s="51" t="n">
        <x:v>1</x:v>
      </x:c>
      <x:c r="L20" s="51" t="n">
        <x:v>4</x:v>
      </x:c>
      <x:c r="M20" s="51" t="n">
        <x:v>16</x:v>
      </x:c>
      <x:c r="N20" s="51" t="n">
        <x:v>-1</x:v>
      </x:c>
      <x:c r="O20" s="51" t="n">
        <x:v>-1</x:v>
      </x:c>
      <x:c r="P20" s="55" t="n">
        <x:f>COUNTIFS(H20:K20,"&gt;=0")</x:f>
        <x:v>2</x:v>
      </x:c>
      <x:c r="Q20" s="55" t="n">
        <x:f>P20*2</x:f>
        <x:v>4</x:v>
      </x:c>
      <x:c r="R20" s="55" t="n">
        <x:f>Q20*4</x:f>
        <x:v>16</x:v>
      </x:c>
      <x:c r="S20" s="55" t="n">
        <x:f>IF(G20&gt;2,1,0)</x:f>
        <x:v>0</x:v>
      </x:c>
      <x:c r="T20" s="55" t="n">
        <x:f>IF(MAX(H20:K20)&gt;2,1,0)</x:f>
        <x:v>0</x:v>
      </x:c>
      <x:c r="U20" s="55" t="n">
        <x:f>IF(L20&lt;&gt;Q20,1,0)</x:f>
        <x:v>0</x:v>
      </x:c>
      <x:c r="V20" s="55" t="n">
        <x:f>IF(M20&lt;&gt;R20,1,0)</x:f>
        <x:v>0</x:v>
      </x:c>
      <x:c r="W20" s="50" t="str">
        <x:v>v1/log.txt</x:v>
      </x:c>
      <x:c r="X20" s="53" t="n">
        <x:v>110</x:v>
      </x:c>
    </x:row>
    <x:row r="21" ht="24" customHeight="1">
      <x:c r="A21" s="35" t="str">
        <x:v>V1</x:v>
      </x:c>
      <x:c r="B21" s="48" t="n">
        <x:v>17</x:v>
      </x:c>
      <x:c r="C21" s="49" t="n">
        <x:v>18.06</x:v>
      </x:c>
      <x:c r="D21" s="48" t="n">
        <x:v>8</x:v>
      </x:c>
      <x:c r="E21" s="48" t="n">
        <x:v>2</x:v>
      </x:c>
      <x:c r="F21" s="48" t="n">
        <x:v>2</x:v>
      </x:c>
      <x:c r="G21" s="48" t="n">
        <x:v>1</x:v>
      </x:c>
      <x:c r="H21" s="48" t="n">
        <x:v>1</x:v>
      </x:c>
      <x:c r="I21" s="48" t="n">
        <x:v>-2</x:v>
      </x:c>
      <x:c r="J21" s="48" t="n">
        <x:v>1</x:v>
      </x:c>
      <x:c r="K21" s="48" t="n">
        <x:v>-2</x:v>
      </x:c>
      <x:c r="L21" s="48" t="n">
        <x:v>4</x:v>
      </x:c>
      <x:c r="M21" s="48" t="n">
        <x:v>16</x:v>
      </x:c>
      <x:c r="N21" s="48" t="n">
        <x:v>-1</x:v>
      </x:c>
      <x:c r="O21" s="48" t="n">
        <x:v>-1</x:v>
      </x:c>
      <x:c r="P21" s="54" t="n">
        <x:f>COUNTIFS(H21:K21,"&gt;=0")</x:f>
        <x:v>2</x:v>
      </x:c>
      <x:c r="Q21" s="54" t="n">
        <x:f>P21*2</x:f>
        <x:v>4</x:v>
      </x:c>
      <x:c r="R21" s="54" t="n">
        <x:f>Q21*4</x:f>
        <x:v>16</x:v>
      </x:c>
      <x:c r="S21" s="54" t="n">
        <x:f>IF(G21&gt;2,1,0)</x:f>
        <x:v>0</x:v>
      </x:c>
      <x:c r="T21" s="54" t="n">
        <x:f>IF(MAX(H21:K21)&gt;2,1,0)</x:f>
        <x:v>0</x:v>
      </x:c>
      <x:c r="U21" s="54" t="n">
        <x:f>IF(L21&lt;&gt;Q21,1,0)</x:f>
        <x:v>0</x:v>
      </x:c>
      <x:c r="V21" s="54" t="n">
        <x:f>IF(M21&lt;&gt;R21,1,0)</x:f>
        <x:v>0</x:v>
      </x:c>
      <x:c r="W21" s="35" t="str">
        <x:v>v1/log.txt</x:v>
      </x:c>
      <x:c r="X21" s="46" t="n">
        <x:v>117</x:v>
      </x:c>
    </x:row>
    <x:row r="22" ht="24" customHeight="1">
      <x:c r="A22" s="50" t="str">
        <x:v>V1</x:v>
      </x:c>
      <x:c r="B22" s="51" t="n">
        <x:v>18</x:v>
      </x:c>
      <x:c r="C22" s="52" t="n">
        <x:v>21.06</x:v>
      </x:c>
      <x:c r="D22" s="51" t="n">
        <x:v>8</x:v>
      </x:c>
      <x:c r="E22" s="51" t="n">
        <x:v>2</x:v>
      </x:c>
      <x:c r="F22" s="51" t="n">
        <x:v>2</x:v>
      </x:c>
      <x:c r="G22" s="51" t="n">
        <x:v>0</x:v>
      </x:c>
      <x:c r="H22" s="51" t="n">
        <x:v>1</x:v>
      </x:c>
      <x:c r="I22" s="51" t="n">
        <x:v>-2</x:v>
      </x:c>
      <x:c r="J22" s="51" t="n">
        <x:v>1</x:v>
      </x:c>
      <x:c r="K22" s="51" t="n">
        <x:v>-2</x:v>
      </x:c>
      <x:c r="L22" s="51" t="n">
        <x:v>4</x:v>
      </x:c>
      <x:c r="M22" s="51" t="n">
        <x:v>16</x:v>
      </x:c>
      <x:c r="N22" s="51" t="n">
        <x:v>-1</x:v>
      </x:c>
      <x:c r="O22" s="51" t="n">
        <x:v>-1</x:v>
      </x:c>
      <x:c r="P22" s="55" t="n">
        <x:f>COUNTIFS(H22:K22,"&gt;=0")</x:f>
        <x:v>2</x:v>
      </x:c>
      <x:c r="Q22" s="55" t="n">
        <x:f>P22*2</x:f>
        <x:v>4</x:v>
      </x:c>
      <x:c r="R22" s="55" t="n">
        <x:f>Q22*4</x:f>
        <x:v>16</x:v>
      </x:c>
      <x:c r="S22" s="55" t="n">
        <x:f>IF(G22&gt;2,1,0)</x:f>
        <x:v>0</x:v>
      </x:c>
      <x:c r="T22" s="55" t="n">
        <x:f>IF(MAX(H22:K22)&gt;2,1,0)</x:f>
        <x:v>0</x:v>
      </x:c>
      <x:c r="U22" s="55" t="n">
        <x:f>IF(L22&lt;&gt;Q22,1,0)</x:f>
        <x:v>0</x:v>
      </x:c>
      <x:c r="V22" s="55" t="n">
        <x:f>IF(M22&lt;&gt;R22,1,0)</x:f>
        <x:v>0</x:v>
      </x:c>
      <x:c r="W22" s="50" t="str">
        <x:v>v1/log.txt</x:v>
      </x:c>
      <x:c r="X22" s="53" t="n">
        <x:v>124</x:v>
      </x:c>
    </x:row>
    <x:row r="23" ht="24" customHeight="1">
      <x:c r="A23" s="35" t="str">
        <x:v>V1</x:v>
      </x:c>
      <x:c r="B23" s="48" t="n">
        <x:v>19</x:v>
      </x:c>
      <x:c r="C23" s="49" t="n">
        <x:v>21.07</x:v>
      </x:c>
      <x:c r="D23" s="48" t="n">
        <x:v>2</x:v>
      </x:c>
      <x:c r="E23" s="48" t="n">
        <x:v>0</x:v>
      </x:c>
      <x:c r="F23" s="48" t="n">
        <x:v>2</x:v>
      </x:c>
      <x:c r="G23" s="48" t="n">
        <x:v>2</x:v>
      </x:c>
      <x:c r="H23" s="48" t="n">
        <x:v>-2</x:v>
      </x:c>
      <x:c r="I23" s="48" t="n">
        <x:v>1</x:v>
      </x:c>
      <x:c r="J23" s="48" t="n">
        <x:v>0</x:v>
      </x:c>
      <x:c r="K23" s="48" t="n">
        <x:v>-2</x:v>
      </x:c>
      <x:c r="L23" s="48" t="n">
        <x:v>4</x:v>
      </x:c>
      <x:c r="M23" s="48" t="n">
        <x:v>16</x:v>
      </x:c>
      <x:c r="N23" s="48" t="n">
        <x:v>-1</x:v>
      </x:c>
      <x:c r="O23" s="48" t="n">
        <x:v>-1</x:v>
      </x:c>
      <x:c r="P23" s="54" t="n">
        <x:f>COUNTIFS(H23:K23,"&gt;=0")</x:f>
        <x:v>2</x:v>
      </x:c>
      <x:c r="Q23" s="54" t="n">
        <x:f>P23*2</x:f>
        <x:v>4</x:v>
      </x:c>
      <x:c r="R23" s="54" t="n">
        <x:f>Q23*4</x:f>
        <x:v>16</x:v>
      </x:c>
      <x:c r="S23" s="54" t="n">
        <x:f>IF(G23&gt;2,1,0)</x:f>
        <x:v>0</x:v>
      </x:c>
      <x:c r="T23" s="54" t="n">
        <x:f>IF(MAX(H23:K23)&gt;2,1,0)</x:f>
        <x:v>0</x:v>
      </x:c>
      <x:c r="U23" s="54" t="n">
        <x:f>IF(L23&lt;&gt;Q23,1,0)</x:f>
        <x:v>0</x:v>
      </x:c>
      <x:c r="V23" s="54" t="n">
        <x:f>IF(M23&lt;&gt;R23,1,0)</x:f>
        <x:v>0</x:v>
      </x:c>
      <x:c r="W23" s="35" t="str">
        <x:v>v1/log.txt</x:v>
      </x:c>
      <x:c r="X23" s="46" t="n">
        <x:v>131</x:v>
      </x:c>
    </x:row>
    <x:row r="24" ht="24" customHeight="1">
      <x:c r="A24" s="50" t="str">
        <x:v>V1</x:v>
      </x:c>
      <x:c r="B24" s="51" t="n">
        <x:v>20</x:v>
      </x:c>
      <x:c r="C24" s="52" t="n">
        <x:v>24.05</x:v>
      </x:c>
      <x:c r="D24" s="51" t="n">
        <x:v>0</x:v>
      </x:c>
      <x:c r="E24" s="51" t="n">
        <x:v>0</x:v>
      </x:c>
      <x:c r="F24" s="51" t="n">
        <x:v>0</x:v>
      </x:c>
      <x:c r="G24" s="51" t="n">
        <x:v>1</x:v>
      </x:c>
      <x:c r="H24" s="51" t="n">
        <x:v>-2</x:v>
      </x:c>
      <x:c r="I24" s="51" t="n">
        <x:v>1</x:v>
      </x:c>
      <x:c r="J24" s="51" t="n">
        <x:v>-2</x:v>
      </x:c>
      <x:c r="K24" s="51" t="n">
        <x:v>1</x:v>
      </x:c>
      <x:c r="L24" s="51" t="n">
        <x:v>4</x:v>
      </x:c>
      <x:c r="M24" s="51" t="n">
        <x:v>16</x:v>
      </x:c>
      <x:c r="N24" s="51" t="n">
        <x:v>-1</x:v>
      </x:c>
      <x:c r="O24" s="51" t="n">
        <x:v>-1</x:v>
      </x:c>
      <x:c r="P24" s="55" t="n">
        <x:f>COUNTIFS(H24:K24,"&gt;=0")</x:f>
        <x:v>2</x:v>
      </x:c>
      <x:c r="Q24" s="55" t="n">
        <x:f>P24*2</x:f>
        <x:v>4</x:v>
      </x:c>
      <x:c r="R24" s="55" t="n">
        <x:f>Q24*4</x:f>
        <x:v>16</x:v>
      </x:c>
      <x:c r="S24" s="55" t="n">
        <x:f>IF(G24&gt;2,1,0)</x:f>
        <x:v>0</x:v>
      </x:c>
      <x:c r="T24" s="55" t="n">
        <x:f>IF(MAX(H24:K24)&gt;2,1,0)</x:f>
        <x:v>0</x:v>
      </x:c>
      <x:c r="U24" s="55" t="n">
        <x:f>IF(L24&lt;&gt;Q24,1,0)</x:f>
        <x:v>0</x:v>
      </x:c>
      <x:c r="V24" s="55" t="n">
        <x:f>IF(M24&lt;&gt;R24,1,0)</x:f>
        <x:v>0</x:v>
      </x:c>
      <x:c r="W24" s="50" t="str">
        <x:v>v1/log.txt</x:v>
      </x:c>
      <x:c r="X24" s="53" t="n">
        <x:v>138</x:v>
      </x:c>
    </x:row>
    <x:row r="25" ht="24" customHeight="1">
      <x:c r="A25" s="35" t="str">
        <x:v>V1</x:v>
      </x:c>
      <x:c r="B25" s="48" t="n">
        <x:v>21</x:v>
      </x:c>
      <x:c r="C25" s="49" t="n">
        <x:v>24.06</x:v>
      </x:c>
      <x:c r="D25" s="48" t="n">
        <x:v>5</x:v>
      </x:c>
      <x:c r="E25" s="48" t="n">
        <x:v>1</x:v>
      </x:c>
      <x:c r="F25" s="48" t="n">
        <x:v>2</x:v>
      </x:c>
      <x:c r="G25" s="48" t="n">
        <x:v>2</x:v>
      </x:c>
      <x:c r="H25" s="48" t="n">
        <x:v>2</x:v>
      </x:c>
      <x:c r="I25" s="48" t="n">
        <x:v>2</x:v>
      </x:c>
      <x:c r="J25" s="48" t="n">
        <x:v>1</x:v>
      </x:c>
      <x:c r="K25" s="48" t="n">
        <x:v>-2</x:v>
      </x:c>
      <x:c r="L25" s="48" t="n">
        <x:v>6</x:v>
      </x:c>
      <x:c r="M25" s="48" t="n">
        <x:v>24</x:v>
      </x:c>
      <x:c r="N25" s="48" t="n">
        <x:v>-1</x:v>
      </x:c>
      <x:c r="O25" s="48" t="n">
        <x:v>-1</x:v>
      </x:c>
      <x:c r="P25" s="54" t="n">
        <x:f>COUNTIFS(H25:K25,"&gt;=0")</x:f>
        <x:v>3</x:v>
      </x:c>
      <x:c r="Q25" s="54" t="n">
        <x:f>P25*2</x:f>
        <x:v>6</x:v>
      </x:c>
      <x:c r="R25" s="54" t="n">
        <x:f>Q25*4</x:f>
        <x:v>24</x:v>
      </x:c>
      <x:c r="S25" s="54" t="n">
        <x:f>IF(G25&gt;2,1,0)</x:f>
        <x:v>0</x:v>
      </x:c>
      <x:c r="T25" s="54" t="n">
        <x:f>IF(MAX(H25:K25)&gt;2,1,0)</x:f>
        <x:v>0</x:v>
      </x:c>
      <x:c r="U25" s="54" t="n">
        <x:f>IF(L25&lt;&gt;Q25,1,0)</x:f>
        <x:v>0</x:v>
      </x:c>
      <x:c r="V25" s="54" t="n">
        <x:f>IF(M25&lt;&gt;R25,1,0)</x:f>
        <x:v>0</x:v>
      </x:c>
      <x:c r="W25" s="35" t="str">
        <x:v>v1/log.txt</x:v>
      </x:c>
      <x:c r="X25" s="46" t="n">
        <x:v>145</x:v>
      </x:c>
    </x:row>
    <x:row r="26" ht="24" customHeight="1">
      <x:c r="A26" s="50" t="str">
        <x:v>V1</x:v>
      </x:c>
      <x:c r="B26" s="51" t="n">
        <x:v>22</x:v>
      </x:c>
      <x:c r="C26" s="52" t="n">
        <x:v>24.06</x:v>
      </x:c>
      <x:c r="D26" s="51" t="n">
        <x:v>3</x:v>
      </x:c>
      <x:c r="E26" s="51" t="n">
        <x:v>1</x:v>
      </x:c>
      <x:c r="F26" s="51" t="n">
        <x:v>0</x:v>
      </x:c>
      <x:c r="G26" s="51" t="n">
        <x:v>1</x:v>
      </x:c>
      <x:c r="H26" s="51" t="n">
        <x:v>1</x:v>
      </x:c>
      <x:c r="I26" s="51" t="n">
        <x:v>2</x:v>
      </x:c>
      <x:c r="J26" s="51" t="n">
        <x:v>-2</x:v>
      </x:c>
      <x:c r="K26" s="51" t="n">
        <x:v>1</x:v>
      </x:c>
      <x:c r="L26" s="51" t="n">
        <x:v>6</x:v>
      </x:c>
      <x:c r="M26" s="51" t="n">
        <x:v>24</x:v>
      </x:c>
      <x:c r="N26" s="51" t="n">
        <x:v>-1</x:v>
      </x:c>
      <x:c r="O26" s="51" t="n">
        <x:v>-1</x:v>
      </x:c>
      <x:c r="P26" s="55" t="n">
        <x:f>COUNTIFS(H26:K26,"&gt;=0")</x:f>
        <x:v>3</x:v>
      </x:c>
      <x:c r="Q26" s="55" t="n">
        <x:f>P26*2</x:f>
        <x:v>6</x:v>
      </x:c>
      <x:c r="R26" s="55" t="n">
        <x:f>Q26*4</x:f>
        <x:v>24</x:v>
      </x:c>
      <x:c r="S26" s="55" t="n">
        <x:f>IF(G26&gt;2,1,0)</x:f>
        <x:v>0</x:v>
      </x:c>
      <x:c r="T26" s="55" t="n">
        <x:f>IF(MAX(H26:K26)&gt;2,1,0)</x:f>
        <x:v>0</x:v>
      </x:c>
      <x:c r="U26" s="55" t="n">
        <x:f>IF(L26&lt;&gt;Q26,1,0)</x:f>
        <x:v>0</x:v>
      </x:c>
      <x:c r="V26" s="55" t="n">
        <x:f>IF(M26&lt;&gt;R26,1,0)</x:f>
        <x:v>0</x:v>
      </x:c>
      <x:c r="W26" s="50" t="str">
        <x:v>v1/log.txt</x:v>
      </x:c>
      <x:c r="X26" s="53" t="n">
        <x:v>152</x:v>
      </x:c>
    </x:row>
    <x:row r="27" ht="24" customHeight="1">
      <x:c r="A27" s="35" t="str">
        <x:v>V1</x:v>
      </x:c>
      <x:c r="B27" s="48" t="n">
        <x:v>23</x:v>
      </x:c>
      <x:c r="C27" s="49" t="n">
        <x:v>24.06</x:v>
      </x:c>
      <x:c r="D27" s="48" t="n">
        <x:v>1</x:v>
      </x:c>
      <x:c r="E27" s="48" t="n">
        <x:v>0</x:v>
      </x:c>
      <x:c r="F27" s="48" t="n">
        <x:v>1</x:v>
      </x:c>
      <x:c r="G27" s="48" t="n">
        <x:v>1</x:v>
      </x:c>
      <x:c r="H27" s="48" t="n">
        <x:v>-2</x:v>
      </x:c>
      <x:c r="I27" s="48" t="n">
        <x:v>1</x:v>
      </x:c>
      <x:c r="J27" s="48" t="n">
        <x:v>1</x:v>
      </x:c>
      <x:c r="K27" s="48" t="n">
        <x:v>2</x:v>
      </x:c>
      <x:c r="L27" s="48" t="n">
        <x:v>6</x:v>
      </x:c>
      <x:c r="M27" s="48" t="n">
        <x:v>24</x:v>
      </x:c>
      <x:c r="N27" s="48" t="n">
        <x:v>-1</x:v>
      </x:c>
      <x:c r="O27" s="48" t="n">
        <x:v>-1</x:v>
      </x:c>
      <x:c r="P27" s="54" t="n">
        <x:f>COUNTIFS(H27:K27,"&gt;=0")</x:f>
        <x:v>3</x:v>
      </x:c>
      <x:c r="Q27" s="54" t="n">
        <x:f>P27*2</x:f>
        <x:v>6</x:v>
      </x:c>
      <x:c r="R27" s="54" t="n">
        <x:f>Q27*4</x:f>
        <x:v>24</x:v>
      </x:c>
      <x:c r="S27" s="54" t="n">
        <x:f>IF(G27&gt;2,1,0)</x:f>
        <x:v>0</x:v>
      </x:c>
      <x:c r="T27" s="54" t="n">
        <x:f>IF(MAX(H27:K27)&gt;2,1,0)</x:f>
        <x:v>0</x:v>
      </x:c>
      <x:c r="U27" s="54" t="n">
        <x:f>IF(L27&lt;&gt;Q27,1,0)</x:f>
        <x:v>0</x:v>
      </x:c>
      <x:c r="V27" s="54" t="n">
        <x:f>IF(M27&lt;&gt;R27,1,0)</x:f>
        <x:v>0</x:v>
      </x:c>
      <x:c r="W27" s="35" t="str">
        <x:v>v1/log.txt</x:v>
      </x:c>
      <x:c r="X27" s="46" t="n">
        <x:v>159</x:v>
      </x:c>
    </x:row>
    <x:row r="28" ht="24" customHeight="1">
      <x:c r="A28" s="50" t="str">
        <x:v>V1</x:v>
      </x:c>
      <x:c r="B28" s="51" t="n">
        <x:v>24</x:v>
      </x:c>
      <x:c r="C28" s="52" t="n">
        <x:v>24.07</x:v>
      </x:c>
      <x:c r="D28" s="51" t="n">
        <x:v>2</x:v>
      </x:c>
      <x:c r="E28" s="51" t="n">
        <x:v>0</x:v>
      </x:c>
      <x:c r="F28" s="51" t="n">
        <x:v>2</x:v>
      </x:c>
      <x:c r="G28" s="51" t="n">
        <x:v>2</x:v>
      </x:c>
      <x:c r="H28" s="51" t="n">
        <x:v>-2</x:v>
      </x:c>
      <x:c r="I28" s="51" t="n">
        <x:v>2</x:v>
      </x:c>
      <x:c r="J28" s="51" t="n">
        <x:v>1</x:v>
      </x:c>
      <x:c r="K28" s="51" t="n">
        <x:v>-2</x:v>
      </x:c>
      <x:c r="L28" s="51" t="n">
        <x:v>4</x:v>
      </x:c>
      <x:c r="M28" s="51" t="n">
        <x:v>16</x:v>
      </x:c>
      <x:c r="N28" s="51" t="n">
        <x:v>-1</x:v>
      </x:c>
      <x:c r="O28" s="51" t="n">
        <x:v>-1</x:v>
      </x:c>
      <x:c r="P28" s="55" t="n">
        <x:f>COUNTIFS(H28:K28,"&gt;=0")</x:f>
        <x:v>2</x:v>
      </x:c>
      <x:c r="Q28" s="55" t="n">
        <x:f>P28*2</x:f>
        <x:v>4</x:v>
      </x:c>
      <x:c r="R28" s="55" t="n">
        <x:f>Q28*4</x:f>
        <x:v>16</x:v>
      </x:c>
      <x:c r="S28" s="55" t="n">
        <x:f>IF(G28&gt;2,1,0)</x:f>
        <x:v>0</x:v>
      </x:c>
      <x:c r="T28" s="55" t="n">
        <x:f>IF(MAX(H28:K28)&gt;2,1,0)</x:f>
        <x:v>0</x:v>
      </x:c>
      <x:c r="U28" s="55" t="n">
        <x:f>IF(L28&lt;&gt;Q28,1,0)</x:f>
        <x:v>0</x:v>
      </x:c>
      <x:c r="V28" s="55" t="n">
        <x:f>IF(M28&lt;&gt;R28,1,0)</x:f>
        <x:v>0</x:v>
      </x:c>
      <x:c r="W28" s="50" t="str">
        <x:v>v1/log.txt</x:v>
      </x:c>
      <x:c r="X28" s="53" t="n">
        <x:v>167</x:v>
      </x:c>
    </x:row>
    <x:row r="29" ht="24" customHeight="1">
      <x:c r="A29" s="35" t="str">
        <x:v>V1</x:v>
      </x:c>
      <x:c r="B29" s="48" t="n">
        <x:v>25</x:v>
      </x:c>
      <x:c r="C29" s="49" t="n">
        <x:v>27.06</x:v>
      </x:c>
      <x:c r="D29" s="48" t="n">
        <x:v>1</x:v>
      </x:c>
      <x:c r="E29" s="48" t="n">
        <x:v>0</x:v>
      </x:c>
      <x:c r="F29" s="48" t="n">
        <x:v>1</x:v>
      </x:c>
      <x:c r="G29" s="48" t="n">
        <x:v>2</x:v>
      </x:c>
      <x:c r="H29" s="48" t="n">
        <x:v>-2</x:v>
      </x:c>
      <x:c r="I29" s="48" t="n">
        <x:v>1</x:v>
      </x:c>
      <x:c r="J29" s="48" t="n">
        <x:v>1</x:v>
      </x:c>
      <x:c r="K29" s="48" t="n">
        <x:v>1</x:v>
      </x:c>
      <x:c r="L29" s="48" t="n">
        <x:v>6</x:v>
      </x:c>
      <x:c r="M29" s="48" t="n">
        <x:v>24</x:v>
      </x:c>
      <x:c r="N29" s="48" t="n">
        <x:v>-1</x:v>
      </x:c>
      <x:c r="O29" s="48" t="n">
        <x:v>-1</x:v>
      </x:c>
      <x:c r="P29" s="54" t="n">
        <x:f>COUNTIFS(H29:K29,"&gt;=0")</x:f>
        <x:v>3</x:v>
      </x:c>
      <x:c r="Q29" s="54" t="n">
        <x:f>P29*2</x:f>
        <x:v>6</x:v>
      </x:c>
      <x:c r="R29" s="54" t="n">
        <x:f>Q29*4</x:f>
        <x:v>24</x:v>
      </x:c>
      <x:c r="S29" s="54" t="n">
        <x:f>IF(G29&gt;2,1,0)</x:f>
        <x:v>0</x:v>
      </x:c>
      <x:c r="T29" s="54" t="n">
        <x:f>IF(MAX(H29:K29)&gt;2,1,0)</x:f>
        <x:v>0</x:v>
      </x:c>
      <x:c r="U29" s="54" t="n">
        <x:f>IF(L29&lt;&gt;Q29,1,0)</x:f>
        <x:v>0</x:v>
      </x:c>
      <x:c r="V29" s="54" t="n">
        <x:f>IF(M29&lt;&gt;R29,1,0)</x:f>
        <x:v>0</x:v>
      </x:c>
      <x:c r="W29" s="35" t="str">
        <x:v>v1/log.txt</x:v>
      </x:c>
      <x:c r="X29" s="46" t="n">
        <x:v>174</x:v>
      </x:c>
    </x:row>
    <x:row r="30" ht="24" customHeight="1">
      <x:c r="A30" s="50" t="str">
        <x:v>V2</x:v>
      </x:c>
      <x:c r="B30" s="51" t="n">
        <x:v>1</x:v>
      </x:c>
      <x:c r="C30" s="52" t="n">
        <x:v>3.01</x:v>
      </x:c>
      <x:c r="D30" s="51" t="n">
        <x:v>0</x:v>
      </x:c>
      <x:c r="E30" s="51" t="n">
        <x:v>0</x:v>
      </x:c>
      <x:c r="F30" s="51" t="n">
        <x:v>0</x:v>
      </x:c>
      <x:c r="G30" s="51" t="n">
        <x:v>2</x:v>
      </x:c>
      <x:c r="H30" s="51" t="n">
        <x:v>-2</x:v>
      </x:c>
      <x:c r="I30" s="51" t="n">
        <x:v>1</x:v>
      </x:c>
      <x:c r="J30" s="51" t="n">
        <x:v>-2</x:v>
      </x:c>
      <x:c r="K30" s="51" t="n">
        <x:v>0</x:v>
      </x:c>
      <x:c r="L30" s="51" t="n">
        <x:v>4</x:v>
      </x:c>
      <x:c r="M30" s="51" t="n">
        <x:v>16</x:v>
      </x:c>
      <x:c r="N30" s="51" t="n">
        <x:v>0</x:v>
      </x:c>
      <x:c r="O30" s="51" t="n">
        <x:v>2</x:v>
      </x:c>
      <x:c r="P30" s="55" t="n">
        <x:f>COUNTIFS(H30:K30,"&gt;=0")</x:f>
        <x:v>2</x:v>
      </x:c>
      <x:c r="Q30" s="55" t="n">
        <x:f>P30*2</x:f>
        <x:v>4</x:v>
      </x:c>
      <x:c r="R30" s="55" t="n">
        <x:f>Q30*4</x:f>
        <x:v>16</x:v>
      </x:c>
      <x:c r="S30" s="55" t="n">
        <x:f>IF(G30&gt;2,1,0)</x:f>
        <x:v>0</x:v>
      </x:c>
      <x:c r="T30" s="55" t="n">
        <x:f>IF(MAX(H30:K30)&gt;2,1,0)</x:f>
        <x:v>0</x:v>
      </x:c>
      <x:c r="U30" s="55" t="n">
        <x:f>IF(L30&lt;&gt;Q30,1,0)</x:f>
        <x:v>0</x:v>
      </x:c>
      <x:c r="V30" s="55" t="n">
        <x:f>IF(M30&lt;&gt;R30,1,0)</x:f>
        <x:v>0</x:v>
      </x:c>
      <x:c r="W30" s="50" t="str">
        <x:v>v2/log.txt</x:v>
      </x:c>
      <x:c r="X30" s="53" t="n">
        <x:v>2</x:v>
      </x:c>
    </x:row>
    <x:row r="31" ht="24" customHeight="1">
      <x:c r="A31" s="35" t="str">
        <x:v>V2</x:v>
      </x:c>
      <x:c r="B31" s="48" t="n">
        <x:v>2</x:v>
      </x:c>
      <x:c r="C31" s="49" t="n">
        <x:v>3.01</x:v>
      </x:c>
      <x:c r="D31" s="48" t="n">
        <x:v>1</x:v>
      </x:c>
      <x:c r="E31" s="48" t="n">
        <x:v>0</x:v>
      </x:c>
      <x:c r="F31" s="48" t="n">
        <x:v>1</x:v>
      </x:c>
      <x:c r="G31" s="48" t="n">
        <x:v>0</x:v>
      </x:c>
      <x:c r="H31" s="48" t="n">
        <x:v>-2</x:v>
      </x:c>
      <x:c r="I31" s="48" t="n">
        <x:v>2</x:v>
      </x:c>
      <x:c r="J31" s="48" t="n">
        <x:v>2</x:v>
      </x:c>
      <x:c r="K31" s="48" t="n">
        <x:v>2</x:v>
      </x:c>
      <x:c r="L31" s="48" t="n">
        <x:v>6</x:v>
      </x:c>
      <x:c r="M31" s="48" t="n">
        <x:v>24</x:v>
      </x:c>
      <x:c r="N31" s="48" t="n">
        <x:v>1</x:v>
      </x:c>
      <x:c r="O31" s="48" t="n">
        <x:v>2</x:v>
      </x:c>
      <x:c r="P31" s="54" t="n">
        <x:f>COUNTIFS(H31:K31,"&gt;=0")</x:f>
        <x:v>3</x:v>
      </x:c>
      <x:c r="Q31" s="54" t="n">
        <x:f>P31*2</x:f>
        <x:v>6</x:v>
      </x:c>
      <x:c r="R31" s="54" t="n">
        <x:f>Q31*4</x:f>
        <x:v>24</x:v>
      </x:c>
      <x:c r="S31" s="54" t="n">
        <x:f>IF(G31&gt;2,1,0)</x:f>
        <x:v>0</x:v>
      </x:c>
      <x:c r="T31" s="54" t="n">
        <x:f>IF(MAX(H31:K31)&gt;2,1,0)</x:f>
        <x:v>0</x:v>
      </x:c>
      <x:c r="U31" s="54" t="n">
        <x:f>IF(L31&lt;&gt;Q31,1,0)</x:f>
        <x:v>0</x:v>
      </x:c>
      <x:c r="V31" s="54" t="n">
        <x:f>IF(M31&lt;&gt;R31,1,0)</x:f>
        <x:v>0</x:v>
      </x:c>
      <x:c r="W31" s="35" t="str">
        <x:v>v2/log.txt</x:v>
      </x:c>
      <x:c r="X31" s="46" t="n">
        <x:v>9</x:v>
      </x:c>
    </x:row>
    <x:row r="32" ht="24" customHeight="1">
      <x:c r="A32" s="50" t="str">
        <x:v>V2</x:v>
      </x:c>
      <x:c r="B32" s="51" t="n">
        <x:v>3</x:v>
      </x:c>
      <x:c r="C32" s="52" t="n">
        <x:v>3.01</x:v>
      </x:c>
      <x:c r="D32" s="51" t="n">
        <x:v>2</x:v>
      </x:c>
      <x:c r="E32" s="51" t="n">
        <x:v>0</x:v>
      </x:c>
      <x:c r="F32" s="51" t="n">
        <x:v>2</x:v>
      </x:c>
      <x:c r="G32" s="51" t="n">
        <x:v>2</x:v>
      </x:c>
      <x:c r="H32" s="51" t="n">
        <x:v>-2</x:v>
      </x:c>
      <x:c r="I32" s="51" t="n">
        <x:v>1</x:v>
      </x:c>
      <x:c r="J32" s="51" t="n">
        <x:v>0</x:v>
      </x:c>
      <x:c r="K32" s="51" t="n">
        <x:v>-2</x:v>
      </x:c>
      <x:c r="L32" s="51" t="n">
        <x:v>4</x:v>
      </x:c>
      <x:c r="M32" s="51" t="n">
        <x:v>16</x:v>
      </x:c>
      <x:c r="N32" s="51" t="n">
        <x:v>2</x:v>
      </x:c>
      <x:c r="O32" s="51" t="n">
        <x:v>2</x:v>
      </x:c>
      <x:c r="P32" s="55" t="n">
        <x:f>COUNTIFS(H32:K32,"&gt;=0")</x:f>
        <x:v>2</x:v>
      </x:c>
      <x:c r="Q32" s="55" t="n">
        <x:f>P32*2</x:f>
        <x:v>4</x:v>
      </x:c>
      <x:c r="R32" s="55" t="n">
        <x:f>Q32*4</x:f>
        <x:v>16</x:v>
      </x:c>
      <x:c r="S32" s="55" t="n">
        <x:f>IF(G32&gt;2,1,0)</x:f>
        <x:v>0</x:v>
      </x:c>
      <x:c r="T32" s="55" t="n">
        <x:f>IF(MAX(H32:K32)&gt;2,1,0)</x:f>
        <x:v>0</x:v>
      </x:c>
      <x:c r="U32" s="55" t="n">
        <x:f>IF(L32&lt;&gt;Q32,1,0)</x:f>
        <x:v>0</x:v>
      </x:c>
      <x:c r="V32" s="55" t="n">
        <x:f>IF(M32&lt;&gt;R32,1,0)</x:f>
        <x:v>0</x:v>
      </x:c>
      <x:c r="W32" s="50" t="str">
        <x:v>v2/log.txt</x:v>
      </x:c>
      <x:c r="X32" s="53" t="n">
        <x:v>16</x:v>
      </x:c>
    </x:row>
    <x:row r="33" ht="24" customHeight="1">
      <x:c r="A33" s="35" t="str">
        <x:v>V2</x:v>
      </x:c>
      <x:c r="B33" s="48" t="n">
        <x:v>4</x:v>
      </x:c>
      <x:c r="C33" s="49" t="n">
        <x:v>3.01</x:v>
      </x:c>
      <x:c r="D33" s="48" t="n">
        <x:v>3</x:v>
      </x:c>
      <x:c r="E33" s="48" t="n">
        <x:v>1</x:v>
      </x:c>
      <x:c r="F33" s="48" t="n">
        <x:v>0</x:v>
      </x:c>
      <x:c r="G33" s="48" t="n">
        <x:v>1</x:v>
      </x:c>
      <x:c r="H33" s="48" t="n">
        <x:v>2</x:v>
      </x:c>
      <x:c r="I33" s="48" t="n">
        <x:v>1</x:v>
      </x:c>
      <x:c r="J33" s="48" t="n">
        <x:v>-2</x:v>
      </x:c>
      <x:c r="K33" s="48" t="n">
        <x:v>2</x:v>
      </x:c>
      <x:c r="L33" s="48" t="n">
        <x:v>6</x:v>
      </x:c>
      <x:c r="M33" s="48" t="n">
        <x:v>24</x:v>
      </x:c>
      <x:c r="N33" s="48" t="n">
        <x:v>2</x:v>
      </x:c>
      <x:c r="O33" s="48" t="n">
        <x:v>1</x:v>
      </x:c>
      <x:c r="P33" s="54" t="n">
        <x:f>COUNTIFS(H33:K33,"&gt;=0")</x:f>
        <x:v>3</x:v>
      </x:c>
      <x:c r="Q33" s="54" t="n">
        <x:f>P33*2</x:f>
        <x:v>6</x:v>
      </x:c>
      <x:c r="R33" s="54" t="n">
        <x:f>Q33*4</x:f>
        <x:v>24</x:v>
      </x:c>
      <x:c r="S33" s="54" t="n">
        <x:f>IF(G33&gt;2,1,0)</x:f>
        <x:v>0</x:v>
      </x:c>
      <x:c r="T33" s="54" t="n">
        <x:f>IF(MAX(H33:K33)&gt;2,1,0)</x:f>
        <x:v>0</x:v>
      </x:c>
      <x:c r="U33" s="54" t="n">
        <x:f>IF(L33&lt;&gt;Q33,1,0)</x:f>
        <x:v>0</x:v>
      </x:c>
      <x:c r="V33" s="54" t="n">
        <x:f>IF(M33&lt;&gt;R33,1,0)</x:f>
        <x:v>0</x:v>
      </x:c>
      <x:c r="W33" s="35" t="str">
        <x:v>v2/log.txt</x:v>
      </x:c>
      <x:c r="X33" s="46" t="n">
        <x:v>23</x:v>
      </x:c>
    </x:row>
    <x:row r="34" ht="24" customHeight="1">
      <x:c r="A34" s="50" t="str">
        <x:v>V2</x:v>
      </x:c>
      <x:c r="B34" s="51" t="n">
        <x:v>5</x:v>
      </x:c>
      <x:c r="C34" s="52" t="n">
        <x:v>3.02</x:v>
      </x:c>
      <x:c r="D34" s="51" t="n">
        <x:v>4</x:v>
      </x:c>
      <x:c r="E34" s="51" t="n">
        <x:v>1</x:v>
      </x:c>
      <x:c r="F34" s="51" t="n">
        <x:v>1</x:v>
      </x:c>
      <x:c r="G34" s="51" t="n">
        <x:v>2</x:v>
      </x:c>
      <x:c r="H34" s="51" t="n">
        <x:v>0</x:v>
      </x:c>
      <x:c r="I34" s="51" t="n">
        <x:v>1</x:v>
      </x:c>
      <x:c r="J34" s="51" t="n">
        <x:v>1</x:v>
      </x:c>
      <x:c r="K34" s="51" t="n">
        <x:v>1</x:v>
      </x:c>
      <x:c r="L34" s="51" t="n">
        <x:v>8</x:v>
      </x:c>
      <x:c r="M34" s="51" t="n">
        <x:v>32</x:v>
      </x:c>
      <x:c r="N34" s="51" t="n">
        <x:v>2</x:v>
      </x:c>
      <x:c r="O34" s="51" t="n">
        <x:v>2</x:v>
      </x:c>
      <x:c r="P34" s="55" t="n">
        <x:f>COUNTIFS(H34:K34,"&gt;=0")</x:f>
        <x:v>4</x:v>
      </x:c>
      <x:c r="Q34" s="55" t="n">
        <x:f>P34*2</x:f>
        <x:v>8</x:v>
      </x:c>
      <x:c r="R34" s="55" t="n">
        <x:f>Q34*4</x:f>
        <x:v>32</x:v>
      </x:c>
      <x:c r="S34" s="55" t="n">
        <x:f>IF(G34&gt;2,1,0)</x:f>
        <x:v>0</x:v>
      </x:c>
      <x:c r="T34" s="55" t="n">
        <x:f>IF(MAX(H34:K34)&gt;2,1,0)</x:f>
        <x:v>0</x:v>
      </x:c>
      <x:c r="U34" s="55" t="n">
        <x:f>IF(L34&lt;&gt;Q34,1,0)</x:f>
        <x:v>0</x:v>
      </x:c>
      <x:c r="V34" s="55" t="n">
        <x:f>IF(M34&lt;&gt;R34,1,0)</x:f>
        <x:v>0</x:v>
      </x:c>
      <x:c r="W34" s="50" t="str">
        <x:v>v2/log.txt</x:v>
      </x:c>
      <x:c r="X34" s="53" t="n">
        <x:v>30</x:v>
      </x:c>
    </x:row>
    <x:row r="35" ht="24" customHeight="1">
      <x:c r="A35" s="35" t="str">
        <x:v>V2</x:v>
      </x:c>
      <x:c r="B35" s="48" t="n">
        <x:v>6</x:v>
      </x:c>
      <x:c r="C35" s="49" t="n">
        <x:v>3.02</x:v>
      </x:c>
      <x:c r="D35" s="48" t="n">
        <x:v>5</x:v>
      </x:c>
      <x:c r="E35" s="48" t="n">
        <x:v>1</x:v>
      </x:c>
      <x:c r="F35" s="48" t="n">
        <x:v>2</x:v>
      </x:c>
      <x:c r="G35" s="48" t="n">
        <x:v>1</x:v>
      </x:c>
      <x:c r="H35" s="48" t="n">
        <x:v>2</x:v>
      </x:c>
      <x:c r="I35" s="48" t="n">
        <x:v>1</x:v>
      </x:c>
      <x:c r="J35" s="48" t="n">
        <x:v>2</x:v>
      </x:c>
      <x:c r="K35" s="48" t="n">
        <x:v>-2</x:v>
      </x:c>
      <x:c r="L35" s="48" t="n">
        <x:v>6</x:v>
      </x:c>
      <x:c r="M35" s="48" t="n">
        <x:v>24</x:v>
      </x:c>
      <x:c r="N35" s="48" t="n">
        <x:v>-1</x:v>
      </x:c>
      <x:c r="O35" s="48" t="n">
        <x:v>-1</x:v>
      </x:c>
      <x:c r="P35" s="54" t="n">
        <x:f>COUNTIFS(H35:K35,"&gt;=0")</x:f>
        <x:v>3</x:v>
      </x:c>
      <x:c r="Q35" s="54" t="n">
        <x:f>P35*2</x:f>
        <x:v>6</x:v>
      </x:c>
      <x:c r="R35" s="54" t="n">
        <x:f>Q35*4</x:f>
        <x:v>24</x:v>
      </x:c>
      <x:c r="S35" s="54" t="n">
        <x:f>IF(G35&gt;2,1,0)</x:f>
        <x:v>0</x:v>
      </x:c>
      <x:c r="T35" s="54" t="n">
        <x:f>IF(MAX(H35:K35)&gt;2,1,0)</x:f>
        <x:v>0</x:v>
      </x:c>
      <x:c r="U35" s="54" t="n">
        <x:f>IF(L35&lt;&gt;Q35,1,0)</x:f>
        <x:v>0</x:v>
      </x:c>
      <x:c r="V35" s="54" t="n">
        <x:f>IF(M35&lt;&gt;R35,1,0)</x:f>
        <x:v>0</x:v>
      </x:c>
      <x:c r="W35" s="35" t="str">
        <x:v>v2/log.txt</x:v>
      </x:c>
      <x:c r="X35" s="46" t="n">
        <x:v>37</x:v>
      </x:c>
    </x:row>
    <x:row r="36" ht="24" customHeight="1">
      <x:c r="A36" s="50" t="str">
        <x:v>V2</x:v>
      </x:c>
      <x:c r="B36" s="51" t="n">
        <x:v>7</x:v>
      </x:c>
      <x:c r="C36" s="52" t="n">
        <x:v>3.02</x:v>
      </x:c>
      <x:c r="D36" s="51" t="n">
        <x:v>6</x:v>
      </x:c>
      <x:c r="E36" s="51" t="n">
        <x:v>2</x:v>
      </x:c>
      <x:c r="F36" s="51" t="n">
        <x:v>0</x:v>
      </x:c>
      <x:c r="G36" s="51" t="n">
        <x:v>1</x:v>
      </x:c>
      <x:c r="H36" s="51" t="n">
        <x:v>1</x:v>
      </x:c>
      <x:c r="I36" s="51" t="n">
        <x:v>-2</x:v>
      </x:c>
      <x:c r="J36" s="51" t="n">
        <x:v>-2</x:v>
      </x:c>
      <x:c r="K36" s="51" t="n">
        <x:v>1</x:v>
      </x:c>
      <x:c r="L36" s="51" t="n">
        <x:v>4</x:v>
      </x:c>
      <x:c r="M36" s="51" t="n">
        <x:v>16</x:v>
      </x:c>
      <x:c r="N36" s="51" t="n">
        <x:v>-1</x:v>
      </x:c>
      <x:c r="O36" s="51" t="n">
        <x:v>-1</x:v>
      </x:c>
      <x:c r="P36" s="55" t="n">
        <x:f>COUNTIFS(H36:K36,"&gt;=0")</x:f>
        <x:v>2</x:v>
      </x:c>
      <x:c r="Q36" s="55" t="n">
        <x:f>P36*2</x:f>
        <x:v>4</x:v>
      </x:c>
      <x:c r="R36" s="55" t="n">
        <x:f>Q36*4</x:f>
        <x:v>16</x:v>
      </x:c>
      <x:c r="S36" s="55" t="n">
        <x:f>IF(G36&gt;2,1,0)</x:f>
        <x:v>0</x:v>
      </x:c>
      <x:c r="T36" s="55" t="n">
        <x:f>IF(MAX(H36:K36)&gt;2,1,0)</x:f>
        <x:v>0</x:v>
      </x:c>
      <x:c r="U36" s="55" t="n">
        <x:f>IF(L36&lt;&gt;Q36,1,0)</x:f>
        <x:v>0</x:v>
      </x:c>
      <x:c r="V36" s="55" t="n">
        <x:f>IF(M36&lt;&gt;R36,1,0)</x:f>
        <x:v>0</x:v>
      </x:c>
      <x:c r="W36" s="50" t="str">
        <x:v>v2/log.txt</x:v>
      </x:c>
      <x:c r="X36" s="53" t="n">
        <x:v>44</x:v>
      </x:c>
    </x:row>
    <x:row r="37" ht="24" customHeight="1">
      <x:c r="A37" s="35" t="str">
        <x:v>V2</x:v>
      </x:c>
      <x:c r="B37" s="48" t="n">
        <x:v>8</x:v>
      </x:c>
      <x:c r="C37" s="49" t="n">
        <x:v>3.03</x:v>
      </x:c>
      <x:c r="D37" s="48" t="n">
        <x:v>7</x:v>
      </x:c>
      <x:c r="E37" s="48" t="n">
        <x:v>2</x:v>
      </x:c>
      <x:c r="F37" s="48" t="n">
        <x:v>1</x:v>
      </x:c>
      <x:c r="G37" s="48" t="n">
        <x:v>1</x:v>
      </x:c>
      <x:c r="H37" s="48" t="n">
        <x:v>2</x:v>
      </x:c>
      <x:c r="I37" s="48" t="n">
        <x:v>-2</x:v>
      </x:c>
      <x:c r="J37" s="48" t="n">
        <x:v>1</x:v>
      </x:c>
      <x:c r="K37" s="48" t="n">
        <x:v>1</x:v>
      </x:c>
      <x:c r="L37" s="48" t="n">
        <x:v>6</x:v>
      </x:c>
      <x:c r="M37" s="48" t="n">
        <x:v>24</x:v>
      </x:c>
      <x:c r="N37" s="48" t="n">
        <x:v>-1</x:v>
      </x:c>
      <x:c r="O37" s="48" t="n">
        <x:v>-1</x:v>
      </x:c>
      <x:c r="P37" s="54" t="n">
        <x:f>COUNTIFS(H37:K37,"&gt;=0")</x:f>
        <x:v>3</x:v>
      </x:c>
      <x:c r="Q37" s="54" t="n">
        <x:f>P37*2</x:f>
        <x:v>6</x:v>
      </x:c>
      <x:c r="R37" s="54" t="n">
        <x:f>Q37*4</x:f>
        <x:v>24</x:v>
      </x:c>
      <x:c r="S37" s="54" t="n">
        <x:f>IF(G37&gt;2,1,0)</x:f>
        <x:v>0</x:v>
      </x:c>
      <x:c r="T37" s="54" t="n">
        <x:f>IF(MAX(H37:K37)&gt;2,1,0)</x:f>
        <x:v>0</x:v>
      </x:c>
      <x:c r="U37" s="54" t="n">
        <x:f>IF(L37&lt;&gt;Q37,1,0)</x:f>
        <x:v>0</x:v>
      </x:c>
      <x:c r="V37" s="54" t="n">
        <x:f>IF(M37&lt;&gt;R37,1,0)</x:f>
        <x:v>0</x:v>
      </x:c>
      <x:c r="W37" s="35" t="str">
        <x:v>v2/log.txt</x:v>
      </x:c>
      <x:c r="X37" s="46" t="n">
        <x:v>51</x:v>
      </x:c>
    </x:row>
    <x:row r="38" ht="24" customHeight="1">
      <x:c r="A38" s="50" t="str">
        <x:v>V2</x:v>
      </x:c>
      <x:c r="B38" s="51" t="n">
        <x:v>9</x:v>
      </x:c>
      <x:c r="C38" s="52" t="n">
        <x:v>3.03</x:v>
      </x:c>
      <x:c r="D38" s="51" t="n">
        <x:v>8</x:v>
      </x:c>
      <x:c r="E38" s="51" t="n">
        <x:v>2</x:v>
      </x:c>
      <x:c r="F38" s="51" t="n">
        <x:v>2</x:v>
      </x:c>
      <x:c r="G38" s="51" t="n">
        <x:v>1</x:v>
      </x:c>
      <x:c r="H38" s="51" t="n">
        <x:v>1</x:v>
      </x:c>
      <x:c r="I38" s="51" t="n">
        <x:v>-2</x:v>
      </x:c>
      <x:c r="J38" s="51" t="n">
        <x:v>1</x:v>
      </x:c>
      <x:c r="K38" s="51" t="n">
        <x:v>-2</x:v>
      </x:c>
      <x:c r="L38" s="51" t="n">
        <x:v>4</x:v>
      </x:c>
      <x:c r="M38" s="51" t="n">
        <x:v>16</x:v>
      </x:c>
      <x:c r="N38" s="51" t="n">
        <x:v>-1</x:v>
      </x:c>
      <x:c r="O38" s="51" t="n">
        <x:v>-1</x:v>
      </x:c>
      <x:c r="P38" s="55" t="n">
        <x:f>COUNTIFS(H38:K38,"&gt;=0")</x:f>
        <x:v>2</x:v>
      </x:c>
      <x:c r="Q38" s="55" t="n">
        <x:f>P38*2</x:f>
        <x:v>4</x:v>
      </x:c>
      <x:c r="R38" s="55" t="n">
        <x:f>Q38*4</x:f>
        <x:v>16</x:v>
      </x:c>
      <x:c r="S38" s="55" t="n">
        <x:f>IF(G38&gt;2,1,0)</x:f>
        <x:v>0</x:v>
      </x:c>
      <x:c r="T38" s="55" t="n">
        <x:f>IF(MAX(H38:K38)&gt;2,1,0)</x:f>
        <x:v>0</x:v>
      </x:c>
      <x:c r="U38" s="55" t="n">
        <x:f>IF(L38&lt;&gt;Q38,1,0)</x:f>
        <x:v>0</x:v>
      </x:c>
      <x:c r="V38" s="55" t="n">
        <x:f>IF(M38&lt;&gt;R38,1,0)</x:f>
        <x:v>0</x:v>
      </x:c>
      <x:c r="W38" s="50" t="str">
        <x:v>v2/log.txt</x:v>
      </x:c>
      <x:c r="X38" s="53" t="n">
        <x:v>59</x:v>
      </x:c>
    </x:row>
    <x:row r="39" ht="24" customHeight="1">
      <x:c r="A39" s="35" t="str">
        <x:v>V2</x:v>
      </x:c>
      <x:c r="B39" s="48" t="n">
        <x:v>10</x:v>
      </x:c>
      <x:c r="C39" s="49" t="n">
        <x:v>6.04</x:v>
      </x:c>
      <x:c r="D39" s="48" t="n">
        <x:v>5</x:v>
      </x:c>
      <x:c r="E39" s="48" t="n">
        <x:v>1</x:v>
      </x:c>
      <x:c r="F39" s="48" t="n">
        <x:v>2</x:v>
      </x:c>
      <x:c r="G39" s="48" t="n">
        <x:v>2</x:v>
      </x:c>
      <x:c r="H39" s="48" t="n">
        <x:v>2</x:v>
      </x:c>
      <x:c r="I39" s="48" t="n">
        <x:v>1</x:v>
      </x:c>
      <x:c r="J39" s="48" t="n">
        <x:v>2</x:v>
      </x:c>
      <x:c r="K39" s="48" t="n">
        <x:v>-2</x:v>
      </x:c>
      <x:c r="L39" s="48" t="n">
        <x:v>6</x:v>
      </x:c>
      <x:c r="M39" s="48" t="n">
        <x:v>24</x:v>
      </x:c>
      <x:c r="N39" s="48" t="n">
        <x:v>-1</x:v>
      </x:c>
      <x:c r="O39" s="48" t="n">
        <x:v>-1</x:v>
      </x:c>
      <x:c r="P39" s="54" t="n">
        <x:f>COUNTIFS(H39:K39,"&gt;=0")</x:f>
        <x:v>3</x:v>
      </x:c>
      <x:c r="Q39" s="54" t="n">
        <x:f>P39*2</x:f>
        <x:v>6</x:v>
      </x:c>
      <x:c r="R39" s="54" t="n">
        <x:f>Q39*4</x:f>
        <x:v>24</x:v>
      </x:c>
      <x:c r="S39" s="54" t="n">
        <x:f>IF(G39&gt;2,1,0)</x:f>
        <x:v>0</x:v>
      </x:c>
      <x:c r="T39" s="54" t="n">
        <x:f>IF(MAX(H39:K39)&gt;2,1,0)</x:f>
        <x:v>0</x:v>
      </x:c>
      <x:c r="U39" s="54" t="n">
        <x:f>IF(L39&lt;&gt;Q39,1,0)</x:f>
        <x:v>0</x:v>
      </x:c>
      <x:c r="V39" s="54" t="n">
        <x:f>IF(M39&lt;&gt;R39,1,0)</x:f>
        <x:v>0</x:v>
      </x:c>
      <x:c r="W39" s="35" t="str">
        <x:v>v2/log.txt</x:v>
      </x:c>
      <x:c r="X39" s="46" t="n">
        <x:v>66</x:v>
      </x:c>
    </x:row>
    <x:row r="40" ht="24" customHeight="1">
      <x:c r="A40" s="50" t="str">
        <x:v>V2</x:v>
      </x:c>
      <x:c r="B40" s="51" t="n">
        <x:v>11</x:v>
      </x:c>
      <x:c r="C40" s="52" t="n">
        <x:v>6.05</x:v>
      </x:c>
      <x:c r="D40" s="51" t="n">
        <x:v>7</x:v>
      </x:c>
      <x:c r="E40" s="51" t="n">
        <x:v>2</x:v>
      </x:c>
      <x:c r="F40" s="51" t="n">
        <x:v>1</x:v>
      </x:c>
      <x:c r="G40" s="51" t="n">
        <x:v>1</x:v>
      </x:c>
      <x:c r="H40" s="51" t="n">
        <x:v>2</x:v>
      </x:c>
      <x:c r="I40" s="51" t="n">
        <x:v>-2</x:v>
      </x:c>
      <x:c r="J40" s="51" t="n">
        <x:v>1</x:v>
      </x:c>
      <x:c r="K40" s="51" t="n">
        <x:v>1</x:v>
      </x:c>
      <x:c r="L40" s="51" t="n">
        <x:v>6</x:v>
      </x:c>
      <x:c r="M40" s="51" t="n">
        <x:v>24</x:v>
      </x:c>
      <x:c r="N40" s="51" t="n">
        <x:v>-1</x:v>
      </x:c>
      <x:c r="O40" s="51" t="n">
        <x:v>-1</x:v>
      </x:c>
      <x:c r="P40" s="55" t="n">
        <x:f>COUNTIFS(H40:K40,"&gt;=0")</x:f>
        <x:v>3</x:v>
      </x:c>
      <x:c r="Q40" s="55" t="n">
        <x:f>P40*2</x:f>
        <x:v>6</x:v>
      </x:c>
      <x:c r="R40" s="55" t="n">
        <x:f>Q40*4</x:f>
        <x:v>24</x:v>
      </x:c>
      <x:c r="S40" s="55" t="n">
        <x:f>IF(G40&gt;2,1,0)</x:f>
        <x:v>0</x:v>
      </x:c>
      <x:c r="T40" s="55" t="n">
        <x:f>IF(MAX(H40:K40)&gt;2,1,0)</x:f>
        <x:v>0</x:v>
      </x:c>
      <x:c r="U40" s="55" t="n">
        <x:f>IF(L40&lt;&gt;Q40,1,0)</x:f>
        <x:v>0</x:v>
      </x:c>
      <x:c r="V40" s="55" t="n">
        <x:f>IF(M40&lt;&gt;R40,1,0)</x:f>
        <x:v>0</x:v>
      </x:c>
      <x:c r="W40" s="50" t="str">
        <x:v>v2/log.txt</x:v>
      </x:c>
      <x:c r="X40" s="53" t="n">
        <x:v>73</x:v>
      </x:c>
    </x:row>
    <x:row r="41" ht="24" customHeight="1">
      <x:c r="A41" s="35" t="str">
        <x:v>V2</x:v>
      </x:c>
      <x:c r="B41" s="48" t="n">
        <x:v>12</x:v>
      </x:c>
      <x:c r="C41" s="49" t="n">
        <x:v>6.05</x:v>
      </x:c>
      <x:c r="D41" s="48" t="n">
        <x:v>8</x:v>
      </x:c>
      <x:c r="E41" s="48" t="n">
        <x:v>2</x:v>
      </x:c>
      <x:c r="F41" s="48" t="n">
        <x:v>2</x:v>
      </x:c>
      <x:c r="G41" s="48" t="n">
        <x:v>1</x:v>
      </x:c>
      <x:c r="H41" s="48" t="n">
        <x:v>2</x:v>
      </x:c>
      <x:c r="I41" s="48" t="n">
        <x:v>-2</x:v>
      </x:c>
      <x:c r="J41" s="48" t="n">
        <x:v>1</x:v>
      </x:c>
      <x:c r="K41" s="48" t="n">
        <x:v>-2</x:v>
      </x:c>
      <x:c r="L41" s="48" t="n">
        <x:v>4</x:v>
      </x:c>
      <x:c r="M41" s="48" t="n">
        <x:v>16</x:v>
      </x:c>
      <x:c r="N41" s="48" t="n">
        <x:v>-1</x:v>
      </x:c>
      <x:c r="O41" s="48" t="n">
        <x:v>-1</x:v>
      </x:c>
      <x:c r="P41" s="54" t="n">
        <x:f>COUNTIFS(H41:K41,"&gt;=0")</x:f>
        <x:v>2</x:v>
      </x:c>
      <x:c r="Q41" s="54" t="n">
        <x:f>P41*2</x:f>
        <x:v>4</x:v>
      </x:c>
      <x:c r="R41" s="54" t="n">
        <x:f>Q41*4</x:f>
        <x:v>16</x:v>
      </x:c>
      <x:c r="S41" s="54" t="n">
        <x:f>IF(G41&gt;2,1,0)</x:f>
        <x:v>0</x:v>
      </x:c>
      <x:c r="T41" s="54" t="n">
        <x:f>IF(MAX(H41:K41)&gt;2,1,0)</x:f>
        <x:v>0</x:v>
      </x:c>
      <x:c r="U41" s="54" t="n">
        <x:f>IF(L41&lt;&gt;Q41,1,0)</x:f>
        <x:v>0</x:v>
      </x:c>
      <x:c r="V41" s="54" t="n">
        <x:f>IF(M41&lt;&gt;R41,1,0)</x:f>
        <x:v>0</x:v>
      </x:c>
      <x:c r="W41" s="35" t="str">
        <x:v>v2/log.txt</x:v>
      </x:c>
      <x:c r="X41" s="46" t="n">
        <x:v>81</x:v>
      </x:c>
    </x:row>
    <x:row r="42" ht="24" customHeight="1">
      <x:c r="A42" s="50" t="str">
        <x:v>V2</x:v>
      </x:c>
      <x:c r="B42" s="51" t="n">
        <x:v>13</x:v>
      </x:c>
      <x:c r="C42" s="52" t="n">
        <x:v>9.06</x:v>
      </x:c>
      <x:c r="D42" s="51" t="n">
        <x:v>2</x:v>
      </x:c>
      <x:c r="E42" s="51" t="n">
        <x:v>0</x:v>
      </x:c>
      <x:c r="F42" s="51" t="n">
        <x:v>2</x:v>
      </x:c>
      <x:c r="G42" s="51" t="n">
        <x:v>2</x:v>
      </x:c>
      <x:c r="H42" s="51" t="n">
        <x:v>-2</x:v>
      </x:c>
      <x:c r="I42" s="51" t="n">
        <x:v>2</x:v>
      </x:c>
      <x:c r="J42" s="51" t="n">
        <x:v>1</x:v>
      </x:c>
      <x:c r="K42" s="51" t="n">
        <x:v>-2</x:v>
      </x:c>
      <x:c r="L42" s="51" t="n">
        <x:v>4</x:v>
      </x:c>
      <x:c r="M42" s="51" t="n">
        <x:v>16</x:v>
      </x:c>
      <x:c r="N42" s="51" t="n">
        <x:v>-1</x:v>
      </x:c>
      <x:c r="O42" s="51" t="n">
        <x:v>-1</x:v>
      </x:c>
      <x:c r="P42" s="55" t="n">
        <x:f>COUNTIFS(H42:K42,"&gt;=0")</x:f>
        <x:v>2</x:v>
      </x:c>
      <x:c r="Q42" s="55" t="n">
        <x:f>P42*2</x:f>
        <x:v>4</x:v>
      </x:c>
      <x:c r="R42" s="55" t="n">
        <x:f>Q42*4</x:f>
        <x:v>16</x:v>
      </x:c>
      <x:c r="S42" s="55" t="n">
        <x:f>IF(G42&gt;2,1,0)</x:f>
        <x:v>0</x:v>
      </x:c>
      <x:c r="T42" s="55" t="n">
        <x:f>IF(MAX(H42:K42)&gt;2,1,0)</x:f>
        <x:v>0</x:v>
      </x:c>
      <x:c r="U42" s="55" t="n">
        <x:f>IF(L42&lt;&gt;Q42,1,0)</x:f>
        <x:v>0</x:v>
      </x:c>
      <x:c r="V42" s="55" t="n">
        <x:f>IF(M42&lt;&gt;R42,1,0)</x:f>
        <x:v>0</x:v>
      </x:c>
      <x:c r="W42" s="50" t="str">
        <x:v>v2/log.txt</x:v>
      </x:c>
      <x:c r="X42" s="53" t="n">
        <x:v>88</x:v>
      </x:c>
    </x:row>
    <x:row r="43" ht="24" customHeight="1">
      <x:c r="A43" s="35" t="str">
        <x:v>V2</x:v>
      </x:c>
      <x:c r="B43" s="48" t="n">
        <x:v>14</x:v>
      </x:c>
      <x:c r="C43" s="49" t="n">
        <x:v>9.06</x:v>
      </x:c>
      <x:c r="D43" s="48" t="n">
        <x:v>4</x:v>
      </x:c>
      <x:c r="E43" s="48" t="n">
        <x:v>1</x:v>
      </x:c>
      <x:c r="F43" s="48" t="n">
        <x:v>1</x:v>
      </x:c>
      <x:c r="G43" s="48" t="n">
        <x:v>0</x:v>
      </x:c>
      <x:c r="H43" s="48" t="n">
        <x:v>1</x:v>
      </x:c>
      <x:c r="I43" s="48" t="n">
        <x:v>1</x:v>
      </x:c>
      <x:c r="J43" s="48" t="n">
        <x:v>2</x:v>
      </x:c>
      <x:c r="K43" s="48" t="n">
        <x:v>2</x:v>
      </x:c>
      <x:c r="L43" s="48" t="n">
        <x:v>8</x:v>
      </x:c>
      <x:c r="M43" s="48" t="n">
        <x:v>32</x:v>
      </x:c>
      <x:c r="N43" s="48" t="n">
        <x:v>-1</x:v>
      </x:c>
      <x:c r="O43" s="48" t="n">
        <x:v>-1</x:v>
      </x:c>
      <x:c r="P43" s="54" t="n">
        <x:f>COUNTIFS(H43:K43,"&gt;=0")</x:f>
        <x:v>4</x:v>
      </x:c>
      <x:c r="Q43" s="54" t="n">
        <x:f>P43*2</x:f>
        <x:v>8</x:v>
      </x:c>
      <x:c r="R43" s="54" t="n">
        <x:f>Q43*4</x:f>
        <x:v>32</x:v>
      </x:c>
      <x:c r="S43" s="54" t="n">
        <x:f>IF(G43&gt;2,1,0)</x:f>
        <x:v>0</x:v>
      </x:c>
      <x:c r="T43" s="54" t="n">
        <x:f>IF(MAX(H43:K43)&gt;2,1,0)</x:f>
        <x:v>0</x:v>
      </x:c>
      <x:c r="U43" s="54" t="n">
        <x:f>IF(L43&lt;&gt;Q43,1,0)</x:f>
        <x:v>0</x:v>
      </x:c>
      <x:c r="V43" s="54" t="n">
        <x:f>IF(M43&lt;&gt;R43,1,0)</x:f>
        <x:v>0</x:v>
      </x:c>
      <x:c r="W43" s="35" t="str">
        <x:v>v2/log.txt</x:v>
      </x:c>
      <x:c r="X43" s="46" t="n">
        <x:v>95</x:v>
      </x:c>
    </x:row>
    <x:row r="44" ht="24" customHeight="1">
      <x:c r="A44" s="50" t="str">
        <x:v>V2</x:v>
      </x:c>
      <x:c r="B44" s="51" t="n">
        <x:v>15</x:v>
      </x:c>
      <x:c r="C44" s="52" t="n">
        <x:v>9.06</x:v>
      </x:c>
      <x:c r="D44" s="51" t="n">
        <x:v>5</x:v>
      </x:c>
      <x:c r="E44" s="51" t="n">
        <x:v>1</x:v>
      </x:c>
      <x:c r="F44" s="51" t="n">
        <x:v>2</x:v>
      </x:c>
      <x:c r="G44" s="51" t="n">
        <x:v>2</x:v>
      </x:c>
      <x:c r="H44" s="51" t="n">
        <x:v>2</x:v>
      </x:c>
      <x:c r="I44" s="51" t="n">
        <x:v>2</x:v>
      </x:c>
      <x:c r="J44" s="51" t="n">
        <x:v>0</x:v>
      </x:c>
      <x:c r="K44" s="51" t="n">
        <x:v>-2</x:v>
      </x:c>
      <x:c r="L44" s="51" t="n">
        <x:v>6</x:v>
      </x:c>
      <x:c r="M44" s="51" t="n">
        <x:v>24</x:v>
      </x:c>
      <x:c r="N44" s="51" t="n">
        <x:v>-1</x:v>
      </x:c>
      <x:c r="O44" s="51" t="n">
        <x:v>-1</x:v>
      </x:c>
      <x:c r="P44" s="55" t="n">
        <x:f>COUNTIFS(H44:K44,"&gt;=0")</x:f>
        <x:v>3</x:v>
      </x:c>
      <x:c r="Q44" s="55" t="n">
        <x:f>P44*2</x:f>
        <x:v>6</x:v>
      </x:c>
      <x:c r="R44" s="55" t="n">
        <x:f>Q44*4</x:f>
        <x:v>24</x:v>
      </x:c>
      <x:c r="S44" s="55" t="n">
        <x:f>IF(G44&gt;2,1,0)</x:f>
        <x:v>0</x:v>
      </x:c>
      <x:c r="T44" s="55" t="n">
        <x:f>IF(MAX(H44:K44)&gt;2,1,0)</x:f>
        <x:v>0</x:v>
      </x:c>
      <x:c r="U44" s="55" t="n">
        <x:f>IF(L44&lt;&gt;Q44,1,0)</x:f>
        <x:v>0</x:v>
      </x:c>
      <x:c r="V44" s="55" t="n">
        <x:f>IF(M44&lt;&gt;R44,1,0)</x:f>
        <x:v>0</x:v>
      </x:c>
      <x:c r="W44" s="50" t="str">
        <x:v>v2/log.txt</x:v>
      </x:c>
      <x:c r="X44" s="53" t="n">
        <x:v>102</x:v>
      </x:c>
    </x:row>
    <x:row r="45" ht="24" customHeight="1">
      <x:c r="A45" s="35" t="str">
        <x:v>V2</x:v>
      </x:c>
      <x:c r="B45" s="48" t="n">
        <x:v>16</x:v>
      </x:c>
      <x:c r="C45" s="49" t="n">
        <x:v>9.07</x:v>
      </x:c>
      <x:c r="D45" s="48" t="n">
        <x:v>6</x:v>
      </x:c>
      <x:c r="E45" s="48" t="n">
        <x:v>2</x:v>
      </x:c>
      <x:c r="F45" s="48" t="n">
        <x:v>0</x:v>
      </x:c>
      <x:c r="G45" s="48" t="n">
        <x:v>2</x:v>
      </x:c>
      <x:c r="H45" s="48" t="n">
        <x:v>2</x:v>
      </x:c>
      <x:c r="I45" s="48" t="n">
        <x:v>-2</x:v>
      </x:c>
      <x:c r="J45" s="48" t="n">
        <x:v>-2</x:v>
      </x:c>
      <x:c r="K45" s="48" t="n">
        <x:v>1</x:v>
      </x:c>
      <x:c r="L45" s="48" t="n">
        <x:v>4</x:v>
      </x:c>
      <x:c r="M45" s="48" t="n">
        <x:v>16</x:v>
      </x:c>
      <x:c r="N45" s="48" t="n">
        <x:v>-1</x:v>
      </x:c>
      <x:c r="O45" s="48" t="n">
        <x:v>-1</x:v>
      </x:c>
      <x:c r="P45" s="54" t="n">
        <x:f>COUNTIFS(H45:K45,"&gt;=0")</x:f>
        <x:v>2</x:v>
      </x:c>
      <x:c r="Q45" s="54" t="n">
        <x:f>P45*2</x:f>
        <x:v>4</x:v>
      </x:c>
      <x:c r="R45" s="54" t="n">
        <x:f>Q45*4</x:f>
        <x:v>16</x:v>
      </x:c>
      <x:c r="S45" s="54" t="n">
        <x:f>IF(G45&gt;2,1,0)</x:f>
        <x:v>0</x:v>
      </x:c>
      <x:c r="T45" s="54" t="n">
        <x:f>IF(MAX(H45:K45)&gt;2,1,0)</x:f>
        <x:v>0</x:v>
      </x:c>
      <x:c r="U45" s="54" t="n">
        <x:f>IF(L45&lt;&gt;Q45,1,0)</x:f>
        <x:v>0</x:v>
      </x:c>
      <x:c r="V45" s="54" t="n">
        <x:f>IF(M45&lt;&gt;R45,1,0)</x:f>
        <x:v>0</x:v>
      </x:c>
      <x:c r="W45" s="35" t="str">
        <x:v>v2/log.txt</x:v>
      </x:c>
      <x:c r="X45" s="46" t="n">
        <x:v>109</x:v>
      </x:c>
    </x:row>
    <x:row r="46" ht="24" customHeight="1">
      <x:c r="A46" s="50" t="str">
        <x:v>V2</x:v>
      </x:c>
      <x:c r="B46" s="51" t="n">
        <x:v>17</x:v>
      </x:c>
      <x:c r="C46" s="52" t="n">
        <x:v>9.07</x:v>
      </x:c>
      <x:c r="D46" s="51" t="n">
        <x:v>7</x:v>
      </x:c>
      <x:c r="E46" s="51" t="n">
        <x:v>2</x:v>
      </x:c>
      <x:c r="F46" s="51" t="n">
        <x:v>1</x:v>
      </x:c>
      <x:c r="G46" s="51" t="n">
        <x:v>1</x:v>
      </x:c>
      <x:c r="H46" s="51" t="n">
        <x:v>0</x:v>
      </x:c>
      <x:c r="I46" s="51" t="n">
        <x:v>-2</x:v>
      </x:c>
      <x:c r="J46" s="51" t="n">
        <x:v>2</x:v>
      </x:c>
      <x:c r="K46" s="51" t="n">
        <x:v>2</x:v>
      </x:c>
      <x:c r="L46" s="51" t="n">
        <x:v>6</x:v>
      </x:c>
      <x:c r="M46" s="51" t="n">
        <x:v>24</x:v>
      </x:c>
      <x:c r="N46" s="51" t="n">
        <x:v>-1</x:v>
      </x:c>
      <x:c r="O46" s="51" t="n">
        <x:v>-1</x:v>
      </x:c>
      <x:c r="P46" s="55" t="n">
        <x:f>COUNTIFS(H46:K46,"&gt;=0")</x:f>
        <x:v>3</x:v>
      </x:c>
      <x:c r="Q46" s="55" t="n">
        <x:f>P46*2</x:f>
        <x:v>6</x:v>
      </x:c>
      <x:c r="R46" s="55" t="n">
        <x:f>Q46*4</x:f>
        <x:v>24</x:v>
      </x:c>
      <x:c r="S46" s="55" t="n">
        <x:f>IF(G46&gt;2,1,0)</x:f>
        <x:v>0</x:v>
      </x:c>
      <x:c r="T46" s="55" t="n">
        <x:f>IF(MAX(H46:K46)&gt;2,1,0)</x:f>
        <x:v>0</x:v>
      </x:c>
      <x:c r="U46" s="55" t="n">
        <x:f>IF(L46&lt;&gt;Q46,1,0)</x:f>
        <x:v>0</x:v>
      </x:c>
      <x:c r="V46" s="55" t="n">
        <x:f>IF(M46&lt;&gt;R46,1,0)</x:f>
        <x:v>0</x:v>
      </x:c>
      <x:c r="W46" s="50" t="str">
        <x:v>v2/log.txt</x:v>
      </x:c>
      <x:c r="X46" s="53" t="n">
        <x:v>116</x:v>
      </x:c>
    </x:row>
    <x:row r="47" ht="24" customHeight="1">
      <x:c r="A47" s="35" t="str">
        <x:v>V2</x:v>
      </x:c>
      <x:c r="B47" s="48" t="n">
        <x:v>18</x:v>
      </x:c>
      <x:c r="C47" s="49" t="n">
        <x:v>9.07</x:v>
      </x:c>
      <x:c r="D47" s="48" t="n">
        <x:v>8</x:v>
      </x:c>
      <x:c r="E47" s="48" t="n">
        <x:v>2</x:v>
      </x:c>
      <x:c r="F47" s="48" t="n">
        <x:v>2</x:v>
      </x:c>
      <x:c r="G47" s="48" t="n">
        <x:v>2</x:v>
      </x:c>
      <x:c r="H47" s="48" t="n">
        <x:v>2</x:v>
      </x:c>
      <x:c r="I47" s="48" t="n">
        <x:v>-2</x:v>
      </x:c>
      <x:c r="J47" s="48" t="n">
        <x:v>1</x:v>
      </x:c>
      <x:c r="K47" s="48" t="n">
        <x:v>-2</x:v>
      </x:c>
      <x:c r="L47" s="48" t="n">
        <x:v>4</x:v>
      </x:c>
      <x:c r="M47" s="48" t="n">
        <x:v>16</x:v>
      </x:c>
      <x:c r="N47" s="48" t="n">
        <x:v>-1</x:v>
      </x:c>
      <x:c r="O47" s="48" t="n">
        <x:v>-1</x:v>
      </x:c>
      <x:c r="P47" s="54" t="n">
        <x:f>COUNTIFS(H47:K47,"&gt;=0")</x:f>
        <x:v>2</x:v>
      </x:c>
      <x:c r="Q47" s="54" t="n">
        <x:f>P47*2</x:f>
        <x:v>4</x:v>
      </x:c>
      <x:c r="R47" s="54" t="n">
        <x:f>Q47*4</x:f>
        <x:v>16</x:v>
      </x:c>
      <x:c r="S47" s="54" t="n">
        <x:f>IF(G47&gt;2,1,0)</x:f>
        <x:v>0</x:v>
      </x:c>
      <x:c r="T47" s="54" t="n">
        <x:f>IF(MAX(H47:K47)&gt;2,1,0)</x:f>
        <x:v>0</x:v>
      </x:c>
      <x:c r="U47" s="54" t="n">
        <x:f>IF(L47&lt;&gt;Q47,1,0)</x:f>
        <x:v>0</x:v>
      </x:c>
      <x:c r="V47" s="54" t="n">
        <x:f>IF(M47&lt;&gt;R47,1,0)</x:f>
        <x:v>0</x:v>
      </x:c>
      <x:c r="W47" s="35" t="str">
        <x:v>v2/log.txt</x:v>
      </x:c>
      <x:c r="X47" s="46" t="n">
        <x:v>124</x:v>
      </x:c>
    </x:row>
    <x:row r="48" ht="24" customHeight="1">
      <x:c r="A48" s="50" t="str">
        <x:v>V2</x:v>
      </x:c>
      <x:c r="B48" s="51" t="n">
        <x:v>19</x:v>
      </x:c>
      <x:c r="C48" s="52" t="n">
        <x:v>12.09</x:v>
      </x:c>
      <x:c r="D48" s="51" t="n">
        <x:v>8</x:v>
      </x:c>
      <x:c r="E48" s="51" t="n">
        <x:v>2</x:v>
      </x:c>
      <x:c r="F48" s="51" t="n">
        <x:v>2</x:v>
      </x:c>
      <x:c r="G48" s="51" t="n">
        <x:v>2</x:v>
      </x:c>
      <x:c r="H48" s="51" t="n">
        <x:v>0</x:v>
      </x:c>
      <x:c r="I48" s="51" t="n">
        <x:v>-2</x:v>
      </x:c>
      <x:c r="J48" s="51" t="n">
        <x:v>2</x:v>
      </x:c>
      <x:c r="K48" s="51" t="n">
        <x:v>-2</x:v>
      </x:c>
      <x:c r="L48" s="51" t="n">
        <x:v>4</x:v>
      </x:c>
      <x:c r="M48" s="51" t="n">
        <x:v>16</x:v>
      </x:c>
      <x:c r="N48" s="51" t="n">
        <x:v>-1</x:v>
      </x:c>
      <x:c r="O48" s="51" t="n">
        <x:v>-1</x:v>
      </x:c>
      <x:c r="P48" s="55" t="n">
        <x:f>COUNTIFS(H48:K48,"&gt;=0")</x:f>
        <x:v>2</x:v>
      </x:c>
      <x:c r="Q48" s="55" t="n">
        <x:f>P48*2</x:f>
        <x:v>4</x:v>
      </x:c>
      <x:c r="R48" s="55" t="n">
        <x:f>Q48*4</x:f>
        <x:v>16</x:v>
      </x:c>
      <x:c r="S48" s="55" t="n">
        <x:f>IF(G48&gt;2,1,0)</x:f>
        <x:v>0</x:v>
      </x:c>
      <x:c r="T48" s="55" t="n">
        <x:f>IF(MAX(H48:K48)&gt;2,1,0)</x:f>
        <x:v>0</x:v>
      </x:c>
      <x:c r="U48" s="55" t="n">
        <x:f>IF(L48&lt;&gt;Q48,1,0)</x:f>
        <x:v>0</x:v>
      </x:c>
      <x:c r="V48" s="55" t="n">
        <x:f>IF(M48&lt;&gt;R48,1,0)</x:f>
        <x:v>0</x:v>
      </x:c>
      <x:c r="W48" s="50" t="str">
        <x:v>v2/log.txt</x:v>
      </x:c>
      <x:c r="X48" s="53" t="n">
        <x:v>131</x:v>
      </x:c>
    </x:row>
    <x:row r="49" ht="24" customHeight="1">
      <x:c r="A49" s="35" t="str">
        <x:v>V2</x:v>
      </x:c>
      <x:c r="B49" s="48" t="n">
        <x:v>20</x:v>
      </x:c>
      <x:c r="C49" s="49" t="n">
        <x:v>15.1</x:v>
      </x:c>
      <x:c r="D49" s="48" t="n">
        <x:v>8</x:v>
      </x:c>
      <x:c r="E49" s="48" t="n">
        <x:v>2</x:v>
      </x:c>
      <x:c r="F49" s="48" t="n">
        <x:v>2</x:v>
      </x:c>
      <x:c r="G49" s="48" t="n">
        <x:v>1</x:v>
      </x:c>
      <x:c r="H49" s="48" t="n">
        <x:v>1</x:v>
      </x:c>
      <x:c r="I49" s="48" t="n">
        <x:v>-2</x:v>
      </x:c>
      <x:c r="J49" s="48" t="n">
        <x:v>2</x:v>
      </x:c>
      <x:c r="K49" s="48" t="n">
        <x:v>-2</x:v>
      </x:c>
      <x:c r="L49" s="48" t="n">
        <x:v>4</x:v>
      </x:c>
      <x:c r="M49" s="48" t="n">
        <x:v>16</x:v>
      </x:c>
      <x:c r="N49" s="48" t="n">
        <x:v>-1</x:v>
      </x:c>
      <x:c r="O49" s="48" t="n">
        <x:v>-1</x:v>
      </x:c>
      <x:c r="P49" s="54" t="n">
        <x:f>COUNTIFS(H49:K49,"&gt;=0")</x:f>
        <x:v>2</x:v>
      </x:c>
      <x:c r="Q49" s="54" t="n">
        <x:f>P49*2</x:f>
        <x:v>4</x:v>
      </x:c>
      <x:c r="R49" s="54" t="n">
        <x:f>Q49*4</x:f>
        <x:v>16</x:v>
      </x:c>
      <x:c r="S49" s="54" t="n">
        <x:f>IF(G49&gt;2,1,0)</x:f>
        <x:v>0</x:v>
      </x:c>
      <x:c r="T49" s="54" t="n">
        <x:f>IF(MAX(H49:K49)&gt;2,1,0)</x:f>
        <x:v>0</x:v>
      </x:c>
      <x:c r="U49" s="54" t="n">
        <x:f>IF(L49&lt;&gt;Q49,1,0)</x:f>
        <x:v>0</x:v>
      </x:c>
      <x:c r="V49" s="54" t="n">
        <x:f>IF(M49&lt;&gt;R49,1,0)</x:f>
        <x:v>0</x:v>
      </x:c>
      <x:c r="W49" s="35" t="str">
        <x:v>v2/log.txt</x:v>
      </x:c>
      <x:c r="X49" s="46" t="n">
        <x:v>138</x:v>
      </x:c>
    </x:row>
    <x:row r="50" ht="24" customHeight="1">
      <x:c r="A50" s="50" t="str">
        <x:v>V2</x:v>
      </x:c>
      <x:c r="B50" s="51" t="n">
        <x:v>21</x:v>
      </x:c>
      <x:c r="C50" s="52" t="n">
        <x:v>18.11</x:v>
      </x:c>
      <x:c r="D50" s="51" t="n">
        <x:v>2</x:v>
      </x:c>
      <x:c r="E50" s="51" t="n">
        <x:v>0</x:v>
      </x:c>
      <x:c r="F50" s="51" t="n">
        <x:v>2</x:v>
      </x:c>
      <x:c r="G50" s="51" t="n">
        <x:v>2</x:v>
      </x:c>
      <x:c r="H50" s="51" t="n">
        <x:v>-2</x:v>
      </x:c>
      <x:c r="I50" s="51" t="n">
        <x:v>0</x:v>
      </x:c>
      <x:c r="J50" s="51" t="n">
        <x:v>2</x:v>
      </x:c>
      <x:c r="K50" s="51" t="n">
        <x:v>-2</x:v>
      </x:c>
      <x:c r="L50" s="51" t="n">
        <x:v>4</x:v>
      </x:c>
      <x:c r="M50" s="51" t="n">
        <x:v>16</x:v>
      </x:c>
      <x:c r="N50" s="51" t="n">
        <x:v>-1</x:v>
      </x:c>
      <x:c r="O50" s="51" t="n">
        <x:v>-1</x:v>
      </x:c>
      <x:c r="P50" s="55" t="n">
        <x:f>COUNTIFS(H50:K50,"&gt;=0")</x:f>
        <x:v>2</x:v>
      </x:c>
      <x:c r="Q50" s="55" t="n">
        <x:f>P50*2</x:f>
        <x:v>4</x:v>
      </x:c>
      <x:c r="R50" s="55" t="n">
        <x:f>Q50*4</x:f>
        <x:v>16</x:v>
      </x:c>
      <x:c r="S50" s="55" t="n">
        <x:f>IF(G50&gt;2,1,0)</x:f>
        <x:v>0</x:v>
      </x:c>
      <x:c r="T50" s="55" t="n">
        <x:f>IF(MAX(H50:K50)&gt;2,1,0)</x:f>
        <x:v>0</x:v>
      </x:c>
      <x:c r="U50" s="55" t="n">
        <x:f>IF(L50&lt;&gt;Q50,1,0)</x:f>
        <x:v>0</x:v>
      </x:c>
      <x:c r="V50" s="55" t="n">
        <x:f>IF(M50&lt;&gt;R50,1,0)</x:f>
        <x:v>0</x:v>
      </x:c>
      <x:c r="W50" s="50" t="str">
        <x:v>v2/log.txt</x:v>
      </x:c>
      <x:c r="X50" s="53" t="n">
        <x:v>145</x:v>
      </x:c>
    </x:row>
    <x:row r="51" ht="24" customHeight="1">
      <x:c r="A51" s="35" t="str">
        <x:v>V2</x:v>
      </x:c>
      <x:c r="B51" s="48" t="n">
        <x:v>22</x:v>
      </x:c>
      <x:c r="C51" s="49" t="n">
        <x:v>21.14</x:v>
      </x:c>
      <x:c r="D51" s="48" t="n">
        <x:v>4</x:v>
      </x:c>
      <x:c r="E51" s="48" t="n">
        <x:v>1</x:v>
      </x:c>
      <x:c r="F51" s="48" t="n">
        <x:v>1</x:v>
      </x:c>
      <x:c r="G51" s="48" t="n">
        <x:v>2</x:v>
      </x:c>
      <x:c r="H51" s="48" t="n">
        <x:v>2</x:v>
      </x:c>
      <x:c r="I51" s="48" t="n">
        <x:v>1</x:v>
      </x:c>
      <x:c r="J51" s="48" t="n">
        <x:v>2</x:v>
      </x:c>
      <x:c r="K51" s="48" t="n">
        <x:v>2</x:v>
      </x:c>
      <x:c r="L51" s="48" t="n">
        <x:v>8</x:v>
      </x:c>
      <x:c r="M51" s="48" t="n">
        <x:v>32</x:v>
      </x:c>
      <x:c r="N51" s="48" t="n">
        <x:v>-1</x:v>
      </x:c>
      <x:c r="O51" s="48" t="n">
        <x:v>-1</x:v>
      </x:c>
      <x:c r="P51" s="54" t="n">
        <x:f>COUNTIFS(H51:K51,"&gt;=0")</x:f>
        <x:v>4</x:v>
      </x:c>
      <x:c r="Q51" s="54" t="n">
        <x:f>P51*2</x:f>
        <x:v>8</x:v>
      </x:c>
      <x:c r="R51" s="54" t="n">
        <x:f>Q51*4</x:f>
        <x:v>32</x:v>
      </x:c>
      <x:c r="S51" s="54" t="n">
        <x:f>IF(G51&gt;2,1,0)</x:f>
        <x:v>0</x:v>
      </x:c>
      <x:c r="T51" s="54" t="n">
        <x:f>IF(MAX(H51:K51)&gt;2,1,0)</x:f>
        <x:v>0</x:v>
      </x:c>
      <x:c r="U51" s="54" t="n">
        <x:f>IF(L51&lt;&gt;Q51,1,0)</x:f>
        <x:v>0</x:v>
      </x:c>
      <x:c r="V51" s="54" t="n">
        <x:f>IF(M51&lt;&gt;R51,1,0)</x:f>
        <x:v>0</x:v>
      </x:c>
      <x:c r="W51" s="35" t="str">
        <x:v>v2/log.txt</x:v>
      </x:c>
      <x:c r="X51" s="46" t="n">
        <x:v>152</x:v>
      </x:c>
    </x:row>
    <x:row r="52" ht="24" customHeight="1">
      <x:c r="A52" s="50" t="str">
        <x:v>V2</x:v>
      </x:c>
      <x:c r="B52" s="51" t="n">
        <x:v>23</x:v>
      </x:c>
      <x:c r="C52" s="52" t="n">
        <x:v>21.14</x:v>
      </x:c>
      <x:c r="D52" s="51" t="n">
        <x:v>8</x:v>
      </x:c>
      <x:c r="E52" s="51" t="n">
        <x:v>2</x:v>
      </x:c>
      <x:c r="F52" s="51" t="n">
        <x:v>2</x:v>
      </x:c>
      <x:c r="G52" s="51" t="n">
        <x:v>1</x:v>
      </x:c>
      <x:c r="H52" s="51" t="n">
        <x:v>2</x:v>
      </x:c>
      <x:c r="I52" s="51" t="n">
        <x:v>-2</x:v>
      </x:c>
      <x:c r="J52" s="51" t="n">
        <x:v>1</x:v>
      </x:c>
      <x:c r="K52" s="51" t="n">
        <x:v>-2</x:v>
      </x:c>
      <x:c r="L52" s="51" t="n">
        <x:v>4</x:v>
      </x:c>
      <x:c r="M52" s="51" t="n">
        <x:v>16</x:v>
      </x:c>
      <x:c r="N52" s="51" t="n">
        <x:v>-1</x:v>
      </x:c>
      <x:c r="O52" s="51" t="n">
        <x:v>-1</x:v>
      </x:c>
      <x:c r="P52" s="55" t="n">
        <x:f>COUNTIFS(H52:K52,"&gt;=0")</x:f>
        <x:v>2</x:v>
      </x:c>
      <x:c r="Q52" s="55" t="n">
        <x:f>P52*2</x:f>
        <x:v>4</x:v>
      </x:c>
      <x:c r="R52" s="55" t="n">
        <x:f>Q52*4</x:f>
        <x:v>16</x:v>
      </x:c>
      <x:c r="S52" s="55" t="n">
        <x:f>IF(G52&gt;2,1,0)</x:f>
        <x:v>0</x:v>
      </x:c>
      <x:c r="T52" s="55" t="n">
        <x:f>IF(MAX(H52:K52)&gt;2,1,0)</x:f>
        <x:v>0</x:v>
      </x:c>
      <x:c r="U52" s="55" t="n">
        <x:f>IF(L52&lt;&gt;Q52,1,0)</x:f>
        <x:v>0</x:v>
      </x:c>
      <x:c r="V52" s="55" t="n">
        <x:f>IF(M52&lt;&gt;R52,1,0)</x:f>
        <x:v>0</x:v>
      </x:c>
      <x:c r="W52" s="50" t="str">
        <x:v>v2/log.txt</x:v>
      </x:c>
      <x:c r="X52" s="53" t="n">
        <x:v>159</x:v>
      </x:c>
    </x:row>
    <x:row r="53" ht="24" customHeight="1">
      <x:c r="A53" s="35" t="str">
        <x:v>V2</x:v>
      </x:c>
      <x:c r="B53" s="48" t="n">
        <x:v>24</x:v>
      </x:c>
      <x:c r="C53" s="49" t="n">
        <x:v>24.15</x:v>
      </x:c>
      <x:c r="D53" s="48" t="n">
        <x:v>0</x:v>
      </x:c>
      <x:c r="E53" s="48" t="n">
        <x:v>0</x:v>
      </x:c>
      <x:c r="F53" s="48" t="n">
        <x:v>0</x:v>
      </x:c>
      <x:c r="G53" s="48" t="n">
        <x:v>2</x:v>
      </x:c>
      <x:c r="H53" s="48" t="n">
        <x:v>-2</x:v>
      </x:c>
      <x:c r="I53" s="48" t="n">
        <x:v>2</x:v>
      </x:c>
      <x:c r="J53" s="48" t="n">
        <x:v>-2</x:v>
      </x:c>
      <x:c r="K53" s="48" t="n">
        <x:v>2</x:v>
      </x:c>
      <x:c r="L53" s="48" t="n">
        <x:v>4</x:v>
      </x:c>
      <x:c r="M53" s="48" t="n">
        <x:v>16</x:v>
      </x:c>
      <x:c r="N53" s="48" t="n">
        <x:v>-1</x:v>
      </x:c>
      <x:c r="O53" s="48" t="n">
        <x:v>-1</x:v>
      </x:c>
      <x:c r="P53" s="54" t="n">
        <x:f>COUNTIFS(H53:K53,"&gt;=0")</x:f>
        <x:v>2</x:v>
      </x:c>
      <x:c r="Q53" s="54" t="n">
        <x:f>P53*2</x:f>
        <x:v>4</x:v>
      </x:c>
      <x:c r="R53" s="54" t="n">
        <x:f>Q53*4</x:f>
        <x:v>16</x:v>
      </x:c>
      <x:c r="S53" s="54" t="n">
        <x:f>IF(G53&gt;2,1,0)</x:f>
        <x:v>0</x:v>
      </x:c>
      <x:c r="T53" s="54" t="n">
        <x:f>IF(MAX(H53:K53)&gt;2,1,0)</x:f>
        <x:v>0</x:v>
      </x:c>
      <x:c r="U53" s="54" t="n">
        <x:f>IF(L53&lt;&gt;Q53,1,0)</x:f>
        <x:v>0</x:v>
      </x:c>
      <x:c r="V53" s="54" t="n">
        <x:f>IF(M53&lt;&gt;R53,1,0)</x:f>
        <x:v>0</x:v>
      </x:c>
      <x:c r="W53" s="35" t="str">
        <x:v>v2/log.txt</x:v>
      </x:c>
      <x:c r="X53" s="46" t="n">
        <x:v>166</x:v>
      </x:c>
    </x:row>
    <x:row r="54" ht="24" customHeight="1">
      <x:c r="A54" s="50" t="str">
        <x:v>V2</x:v>
      </x:c>
      <x:c r="B54" s="51" t="n">
        <x:v>25</x:v>
      </x:c>
      <x:c r="C54" s="52" t="n">
        <x:v>24.16</x:v>
      </x:c>
      <x:c r="D54" s="51" t="n">
        <x:v>8</x:v>
      </x:c>
      <x:c r="E54" s="51" t="n">
        <x:v>2</x:v>
      </x:c>
      <x:c r="F54" s="51" t="n">
        <x:v>2</x:v>
      </x:c>
      <x:c r="G54" s="51" t="n">
        <x:v>1</x:v>
      </x:c>
      <x:c r="H54" s="51" t="n">
        <x:v>1</x:v>
      </x:c>
      <x:c r="I54" s="51" t="n">
        <x:v>-2</x:v>
      </x:c>
      <x:c r="J54" s="51" t="n">
        <x:v>1</x:v>
      </x:c>
      <x:c r="K54" s="51" t="n">
        <x:v>-2</x:v>
      </x:c>
      <x:c r="L54" s="51" t="n">
        <x:v>4</x:v>
      </x:c>
      <x:c r="M54" s="51" t="n">
        <x:v>16</x:v>
      </x:c>
      <x:c r="N54" s="51" t="n">
        <x:v>-1</x:v>
      </x:c>
      <x:c r="O54" s="51" t="n">
        <x:v>-1</x:v>
      </x:c>
      <x:c r="P54" s="55" t="n">
        <x:f>COUNTIFS(H54:K54,"&gt;=0")</x:f>
        <x:v>2</x:v>
      </x:c>
      <x:c r="Q54" s="55" t="n">
        <x:f>P54*2</x:f>
        <x:v>4</x:v>
      </x:c>
      <x:c r="R54" s="55" t="n">
        <x:f>Q54*4</x:f>
        <x:v>16</x:v>
      </x:c>
      <x:c r="S54" s="55" t="n">
        <x:f>IF(G54&gt;2,1,0)</x:f>
        <x:v>0</x:v>
      </x:c>
      <x:c r="T54" s="55" t="n">
        <x:f>IF(MAX(H54:K54)&gt;2,1,0)</x:f>
        <x:v>0</x:v>
      </x:c>
      <x:c r="U54" s="55" t="n">
        <x:f>IF(L54&lt;&gt;Q54,1,0)</x:f>
        <x:v>0</x:v>
      </x:c>
      <x:c r="V54" s="55" t="n">
        <x:f>IF(M54&lt;&gt;R54,1,0)</x:f>
        <x:v>0</x:v>
      </x:c>
      <x:c r="W54" s="50" t="str">
        <x:v>v2/log.txt</x:v>
      </x:c>
      <x:c r="X54" s="53" t="n">
        <x:v>173</x:v>
      </x:c>
    </x:row>
    <x:row r="55" ht="24" customHeight="1">
      <x:c r="A55" s="35" t="str">
        <x:v>V2</x:v>
      </x:c>
      <x:c r="B55" s="48" t="n">
        <x:v>26</x:v>
      </x:c>
      <x:c r="C55" s="49" t="n">
        <x:v>27.17</x:v>
      </x:c>
      <x:c r="D55" s="48" t="n">
        <x:v>2</x:v>
      </x:c>
      <x:c r="E55" s="48" t="n">
        <x:v>0</x:v>
      </x:c>
      <x:c r="F55" s="48" t="n">
        <x:v>2</x:v>
      </x:c>
      <x:c r="G55" s="48" t="n">
        <x:v>2</x:v>
      </x:c>
      <x:c r="H55" s="48" t="n">
        <x:v>-2</x:v>
      </x:c>
      <x:c r="I55" s="48" t="n">
        <x:v>2</x:v>
      </x:c>
      <x:c r="J55" s="48" t="n">
        <x:v>2</x:v>
      </x:c>
      <x:c r="K55" s="48" t="n">
        <x:v>-2</x:v>
      </x:c>
      <x:c r="L55" s="48" t="n">
        <x:v>4</x:v>
      </x:c>
      <x:c r="M55" s="48" t="n">
        <x:v>16</x:v>
      </x:c>
      <x:c r="N55" s="48" t="n">
        <x:v>-1</x:v>
      </x:c>
      <x:c r="O55" s="48" t="n">
        <x:v>-1</x:v>
      </x:c>
      <x:c r="P55" s="54" t="n">
        <x:f>COUNTIFS(H55:K55,"&gt;=0")</x:f>
        <x:v>2</x:v>
      </x:c>
      <x:c r="Q55" s="54" t="n">
        <x:f>P55*2</x:f>
        <x:v>4</x:v>
      </x:c>
      <x:c r="R55" s="54" t="n">
        <x:f>Q55*4</x:f>
        <x:v>16</x:v>
      </x:c>
      <x:c r="S55" s="54" t="n">
        <x:f>IF(G55&gt;2,1,0)</x:f>
        <x:v>0</x:v>
      </x:c>
      <x:c r="T55" s="54" t="n">
        <x:f>IF(MAX(H55:K55)&gt;2,1,0)</x:f>
        <x:v>0</x:v>
      </x:c>
      <x:c r="U55" s="54" t="n">
        <x:f>IF(L55&lt;&gt;Q55,1,0)</x:f>
        <x:v>0</x:v>
      </x:c>
      <x:c r="V55" s="54" t="n">
        <x:f>IF(M55&lt;&gt;R55,1,0)</x:f>
        <x:v>0</x:v>
      </x:c>
      <x:c r="W55" s="35" t="str">
        <x:v>v2/log.txt</x:v>
      </x:c>
      <x:c r="X55" s="46" t="n">
        <x:v>180</x:v>
      </x:c>
    </x:row>
    <x:row r="56" ht="24" customHeight="1">
      <x:c r="A56" s="50" t="str">
        <x:v>V2</x:v>
      </x:c>
      <x:c r="B56" s="51" t="n">
        <x:v>27</x:v>
      </x:c>
      <x:c r="C56" s="52" t="n">
        <x:v>27.18</x:v>
      </x:c>
      <x:c r="D56" s="51" t="n">
        <x:v>8</x:v>
      </x:c>
      <x:c r="E56" s="51" t="n">
        <x:v>2</x:v>
      </x:c>
      <x:c r="F56" s="51" t="n">
        <x:v>2</x:v>
      </x:c>
      <x:c r="G56" s="51" t="n">
        <x:v>1</x:v>
      </x:c>
      <x:c r="H56" s="51" t="n">
        <x:v>2</x:v>
      </x:c>
      <x:c r="I56" s="51" t="n">
        <x:v>-2</x:v>
      </x:c>
      <x:c r="J56" s="51" t="n">
        <x:v>2</x:v>
      </x:c>
      <x:c r="K56" s="51" t="n">
        <x:v>-2</x:v>
      </x:c>
      <x:c r="L56" s="51" t="n">
        <x:v>4</x:v>
      </x:c>
      <x:c r="M56" s="51" t="n">
        <x:v>16</x:v>
      </x:c>
      <x:c r="N56" s="51" t="n">
        <x:v>-1</x:v>
      </x:c>
      <x:c r="O56" s="51" t="n">
        <x:v>-1</x:v>
      </x:c>
      <x:c r="P56" s="55" t="n">
        <x:f>COUNTIFS(H56:K56,"&gt;=0")</x:f>
        <x:v>2</x:v>
      </x:c>
      <x:c r="Q56" s="55" t="n">
        <x:f>P56*2</x:f>
        <x:v>4</x:v>
      </x:c>
      <x:c r="R56" s="55" t="n">
        <x:f>Q56*4</x:f>
        <x:v>16</x:v>
      </x:c>
      <x:c r="S56" s="55" t="n">
        <x:f>IF(G56&gt;2,1,0)</x:f>
        <x:v>0</x:v>
      </x:c>
      <x:c r="T56" s="55" t="n">
        <x:f>IF(MAX(H56:K56)&gt;2,1,0)</x:f>
        <x:v>0</x:v>
      </x:c>
      <x:c r="U56" s="55" t="n">
        <x:f>IF(L56&lt;&gt;Q56,1,0)</x:f>
        <x:v>0</x:v>
      </x:c>
      <x:c r="V56" s="55" t="n">
        <x:f>IF(M56&lt;&gt;R56,1,0)</x:f>
        <x:v>0</x:v>
      </x:c>
      <x:c r="W56" s="50" t="str">
        <x:v>v2/log.txt</x:v>
      </x:c>
      <x:c r="X56" s="53" t="n">
        <x:v>187</x:v>
      </x:c>
    </x:row>
    <x:row r="57" ht="24" customHeight="1">
      <x:c r="A57" s="35" t="str">
        <x:v>V3</x:v>
      </x:c>
      <x:c r="B57" s="48" t="n">
        <x:v>1</x:v>
      </x:c>
      <x:c r="C57" s="49" t="n">
        <x:v>6.04</x:v>
      </x:c>
      <x:c r="D57" s="48" t="n">
        <x:v>1</x:v>
      </x:c>
      <x:c r="E57" s="48" t="n">
        <x:v>0</x:v>
      </x:c>
      <x:c r="F57" s="48" t="n">
        <x:v>1</x:v>
      </x:c>
      <x:c r="G57" s="48" t="n">
        <x:v>1</x:v>
      </x:c>
      <x:c r="H57" s="48" t="n">
        <x:v>-2</x:v>
      </x:c>
      <x:c r="I57" s="48" t="n">
        <x:v>2</x:v>
      </x:c>
      <x:c r="J57" s="48" t="n">
        <x:v>1</x:v>
      </x:c>
      <x:c r="K57" s="48" t="n">
        <x:v>2</x:v>
      </x:c>
      <x:c r="L57" s="48" t="n">
        <x:v>8</x:v>
      </x:c>
      <x:c r="M57" s="48" t="n">
        <x:v>32</x:v>
      </x:c>
      <x:c r="N57" s="48" t="n">
        <x:v>1</x:v>
      </x:c>
      <x:c r="O57" s="48" t="n">
        <x:v>2</x:v>
      </x:c>
      <x:c r="P57" s="54" t="n">
        <x:f>COUNTIFS(H57:K57,"&gt;=0")</x:f>
        <x:v>3</x:v>
      </x:c>
      <x:c r="Q57" s="54" t="n">
        <x:f>P57*2</x:f>
        <x:v>6</x:v>
      </x:c>
      <x:c r="R57" s="54" t="n">
        <x:f>Q57*4</x:f>
        <x:v>24</x:v>
      </x:c>
      <x:c r="S57" s="54" t="n">
        <x:f>IF(G57&gt;2,1,0)</x:f>
        <x:v>0</x:v>
      </x:c>
      <x:c r="T57" s="54" t="n">
        <x:f>IF(MAX(H57:K57)&gt;2,1,0)</x:f>
        <x:v>0</x:v>
      </x:c>
      <x:c r="U57" s="54" t="n">
        <x:f>IF(L57&lt;&gt;Q57,1,0)</x:f>
        <x:v>1</x:v>
      </x:c>
      <x:c r="V57" s="54" t="n">
        <x:f>IF(M57&lt;&gt;R57,1,0)</x:f>
        <x:v>1</x:v>
      </x:c>
      <x:c r="W57" s="35" t="str">
        <x:v>v3/log.txt</x:v>
      </x:c>
      <x:c r="X57" s="46" t="n">
        <x:v>2</x:v>
      </x:c>
    </x:row>
    <x:row r="58" ht="24" customHeight="1">
      <x:c r="A58" s="50" t="str">
        <x:v>V3</x:v>
      </x:c>
      <x:c r="B58" s="51" t="n">
        <x:v>2</x:v>
      </x:c>
      <x:c r="C58" s="52" t="n">
        <x:v>6.04</x:v>
      </x:c>
      <x:c r="D58" s="51" t="n">
        <x:v>2</x:v>
      </x:c>
      <x:c r="E58" s="51" t="n">
        <x:v>0</x:v>
      </x:c>
      <x:c r="F58" s="51" t="n">
        <x:v>2</x:v>
      </x:c>
      <x:c r="G58" s="51" t="n">
        <x:v>1</x:v>
      </x:c>
      <x:c r="H58" s="51" t="n">
        <x:v>-2</x:v>
      </x:c>
      <x:c r="I58" s="51" t="n">
        <x:v>1</x:v>
      </x:c>
      <x:c r="J58" s="51" t="n">
        <x:v>1</x:v>
      </x:c>
      <x:c r="K58" s="51" t="n">
        <x:v>-2</x:v>
      </x:c>
      <x:c r="L58" s="51" t="n">
        <x:v>8</x:v>
      </x:c>
      <x:c r="M58" s="51" t="n">
        <x:v>32</x:v>
      </x:c>
      <x:c r="N58" s="51" t="n">
        <x:v>2</x:v>
      </x:c>
      <x:c r="O58" s="51" t="n">
        <x:v>2</x:v>
      </x:c>
      <x:c r="P58" s="55" t="n">
        <x:f>COUNTIFS(H58:K58,"&gt;=0")</x:f>
        <x:v>2</x:v>
      </x:c>
      <x:c r="Q58" s="55" t="n">
        <x:f>P58*2</x:f>
        <x:v>4</x:v>
      </x:c>
      <x:c r="R58" s="55" t="n">
        <x:f>Q58*4</x:f>
        <x:v>16</x:v>
      </x:c>
      <x:c r="S58" s="55" t="n">
        <x:f>IF(G58&gt;2,1,0)</x:f>
        <x:v>0</x:v>
      </x:c>
      <x:c r="T58" s="55" t="n">
        <x:f>IF(MAX(H58:K58)&gt;2,1,0)</x:f>
        <x:v>0</x:v>
      </x:c>
      <x:c r="U58" s="55" t="n">
        <x:f>IF(L58&lt;&gt;Q58,1,0)</x:f>
        <x:v>1</x:v>
      </x:c>
      <x:c r="V58" s="55" t="n">
        <x:f>IF(M58&lt;&gt;R58,1,0)</x:f>
        <x:v>1</x:v>
      </x:c>
      <x:c r="W58" s="50" t="str">
        <x:v>v3/log.txt</x:v>
      </x:c>
      <x:c r="X58" s="53" t="n">
        <x:v>9</x:v>
      </x:c>
    </x:row>
    <x:row r="59" ht="24" customHeight="1">
      <x:c r="A59" s="35" t="str">
        <x:v>V3</x:v>
      </x:c>
      <x:c r="B59" s="48" t="n">
        <x:v>3</x:v>
      </x:c>
      <x:c r="C59" s="49" t="n">
        <x:v>6.04</x:v>
      </x:c>
      <x:c r="D59" s="48" t="n">
        <x:v>5</x:v>
      </x:c>
      <x:c r="E59" s="48" t="n">
        <x:v>1</x:v>
      </x:c>
      <x:c r="F59" s="48" t="n">
        <x:v>2</x:v>
      </x:c>
      <x:c r="G59" s="48" t="n">
        <x:v>1</x:v>
      </x:c>
      <x:c r="H59" s="48" t="n">
        <x:v>1</x:v>
      </x:c>
      <x:c r="I59" s="48" t="n">
        <x:v>2</x:v>
      </x:c>
      <x:c r="J59" s="48" t="n">
        <x:v>2</x:v>
      </x:c>
      <x:c r="K59" s="48" t="n">
        <x:v>-2</x:v>
      </x:c>
      <x:c r="L59" s="48" t="n">
        <x:v>8</x:v>
      </x:c>
      <x:c r="M59" s="48" t="n">
        <x:v>32</x:v>
      </x:c>
      <x:c r="N59" s="48" t="n">
        <x:v>1</x:v>
      </x:c>
      <x:c r="O59" s="48" t="n">
        <x:v>0</x:v>
      </x:c>
      <x:c r="P59" s="54" t="n">
        <x:f>COUNTIFS(H59:K59,"&gt;=0")</x:f>
        <x:v>3</x:v>
      </x:c>
      <x:c r="Q59" s="54" t="n">
        <x:f>P59*2</x:f>
        <x:v>6</x:v>
      </x:c>
      <x:c r="R59" s="54" t="n">
        <x:f>Q59*4</x:f>
        <x:v>24</x:v>
      </x:c>
      <x:c r="S59" s="54" t="n">
        <x:f>IF(G59&gt;2,1,0)</x:f>
        <x:v>0</x:v>
      </x:c>
      <x:c r="T59" s="54" t="n">
        <x:f>IF(MAX(H59:K59)&gt;2,1,0)</x:f>
        <x:v>0</x:v>
      </x:c>
      <x:c r="U59" s="54" t="n">
        <x:f>IF(L59&lt;&gt;Q59,1,0)</x:f>
        <x:v>1</x:v>
      </x:c>
      <x:c r="V59" s="54" t="n">
        <x:f>IF(M59&lt;&gt;R59,1,0)</x:f>
        <x:v>1</x:v>
      </x:c>
      <x:c r="W59" s="35" t="str">
        <x:v>v3/log.txt</x:v>
      </x:c>
      <x:c r="X59" s="46" t="n">
        <x:v>16</x:v>
      </x:c>
    </x:row>
    <x:row r="60" ht="24" customHeight="1">
      <x:c r="A60" s="50" t="str">
        <x:v>V3</x:v>
      </x:c>
      <x:c r="B60" s="51" t="n">
        <x:v>4</x:v>
      </x:c>
      <x:c r="C60" s="52" t="n">
        <x:v>6.04</x:v>
      </x:c>
      <x:c r="D60" s="51" t="n">
        <x:v>8</x:v>
      </x:c>
      <x:c r="E60" s="51" t="n">
        <x:v>2</x:v>
      </x:c>
      <x:c r="F60" s="51" t="n">
        <x:v>2</x:v>
      </x:c>
      <x:c r="G60" s="51" t="n">
        <x:v>1</x:v>
      </x:c>
      <x:c r="H60" s="51" t="n">
        <x:v>1</x:v>
      </x:c>
      <x:c r="I60" s="51" t="n">
        <x:v>-2</x:v>
      </x:c>
      <x:c r="J60" s="51" t="n">
        <x:v>2</x:v>
      </x:c>
      <x:c r="K60" s="51" t="n">
        <x:v>-2</x:v>
      </x:c>
      <x:c r="L60" s="51" t="n">
        <x:v>8</x:v>
      </x:c>
      <x:c r="M60" s="51" t="n">
        <x:v>32</x:v>
      </x:c>
      <x:c r="N60" s="51" t="n">
        <x:v>2</x:v>
      </x:c>
      <x:c r="O60" s="51" t="n">
        <x:v>0</x:v>
      </x:c>
      <x:c r="P60" s="55" t="n">
        <x:f>COUNTIFS(H60:K60,"&gt;=0")</x:f>
        <x:v>2</x:v>
      </x:c>
      <x:c r="Q60" s="55" t="n">
        <x:f>P60*2</x:f>
        <x:v>4</x:v>
      </x:c>
      <x:c r="R60" s="55" t="n">
        <x:f>Q60*4</x:f>
        <x:v>16</x:v>
      </x:c>
      <x:c r="S60" s="55" t="n">
        <x:f>IF(G60&gt;2,1,0)</x:f>
        <x:v>0</x:v>
      </x:c>
      <x:c r="T60" s="55" t="n">
        <x:f>IF(MAX(H60:K60)&gt;2,1,0)</x:f>
        <x:v>0</x:v>
      </x:c>
      <x:c r="U60" s="55" t="n">
        <x:f>IF(L60&lt;&gt;Q60,1,0)</x:f>
        <x:v>1</x:v>
      </x:c>
      <x:c r="V60" s="55" t="n">
        <x:f>IF(M60&lt;&gt;R60,1,0)</x:f>
        <x:v>1</x:v>
      </x:c>
      <x:c r="W60" s="50" t="str">
        <x:v>v3/log.txt</x:v>
      </x:c>
      <x:c r="X60" s="53" t="n">
        <x:v>23</x:v>
      </x:c>
    </x:row>
    <x:row r="61" ht="24" customHeight="1">
      <x:c r="A61" s="35" t="str">
        <x:v>V3</x:v>
      </x:c>
      <x:c r="B61" s="48" t="n">
        <x:v>5</x:v>
      </x:c>
      <x:c r="C61" s="49" t="n">
        <x:v>6.04</x:v>
      </x:c>
      <x:c r="D61" s="48" t="n">
        <x:v>0</x:v>
      </x:c>
      <x:c r="E61" s="48" t="n">
        <x:v>0</x:v>
      </x:c>
      <x:c r="F61" s="48" t="n">
        <x:v>0</x:v>
      </x:c>
      <x:c r="G61" s="48" t="n">
        <x:v>1</x:v>
      </x:c>
      <x:c r="H61" s="48" t="n">
        <x:v>-2</x:v>
      </x:c>
      <x:c r="I61" s="48" t="n">
        <x:v>1</x:v>
      </x:c>
      <x:c r="J61" s="48" t="n">
        <x:v>-2</x:v>
      </x:c>
      <x:c r="K61" s="48" t="n">
        <x:v>1</x:v>
      </x:c>
      <x:c r="L61" s="48" t="n">
        <x:v>8</x:v>
      </x:c>
      <x:c r="M61" s="48" t="n">
        <x:v>32</x:v>
      </x:c>
      <x:c r="N61" s="48" t="n">
        <x:v>2</x:v>
      </x:c>
      <x:c r="O61" s="48" t="n">
        <x:v>0</x:v>
      </x:c>
      <x:c r="P61" s="54" t="n">
        <x:f>COUNTIFS(H61:K61,"&gt;=0")</x:f>
        <x:v>2</x:v>
      </x:c>
      <x:c r="Q61" s="54" t="n">
        <x:f>P61*2</x:f>
        <x:v>4</x:v>
      </x:c>
      <x:c r="R61" s="54" t="n">
        <x:f>Q61*4</x:f>
        <x:v>16</x:v>
      </x:c>
      <x:c r="S61" s="54" t="n">
        <x:f>IF(G61&gt;2,1,0)</x:f>
        <x:v>0</x:v>
      </x:c>
      <x:c r="T61" s="54" t="n">
        <x:f>IF(MAX(H61:K61)&gt;2,1,0)</x:f>
        <x:v>0</x:v>
      </x:c>
      <x:c r="U61" s="54" t="n">
        <x:f>IF(L61&lt;&gt;Q61,1,0)</x:f>
        <x:v>1</x:v>
      </x:c>
      <x:c r="V61" s="54" t="n">
        <x:f>IF(M61&lt;&gt;R61,1,0)</x:f>
        <x:v>1</x:v>
      </x:c>
      <x:c r="W61" s="35" t="str">
        <x:v>v3/log.txt</x:v>
      </x:c>
      <x:c r="X61" s="46" t="n">
        <x:v>30</x:v>
      </x:c>
    </x:row>
    <x:row r="62" ht="24" customHeight="1">
      <x:c r="A62" s="50" t="str">
        <x:v>V3</x:v>
      </x:c>
      <x:c r="B62" s="51" t="n">
        <x:v>6</x:v>
      </x:c>
      <x:c r="C62" s="52" t="n">
        <x:v>6.04</x:v>
      </x:c>
      <x:c r="D62" s="51" t="n">
        <x:v>3</x:v>
      </x:c>
      <x:c r="E62" s="51" t="n">
        <x:v>1</x:v>
      </x:c>
      <x:c r="F62" s="51" t="n">
        <x:v>0</x:v>
      </x:c>
      <x:c r="G62" s="51" t="n">
        <x:v>1</x:v>
      </x:c>
      <x:c r="H62" s="51" t="n">
        <x:v>1</x:v>
      </x:c>
      <x:c r="I62" s="51" t="n">
        <x:v>2</x:v>
      </x:c>
      <x:c r="J62" s="51" t="n">
        <x:v>-2</x:v>
      </x:c>
      <x:c r="K62" s="51" t="n">
        <x:v>1</x:v>
      </x:c>
      <x:c r="L62" s="51" t="n">
        <x:v>8</x:v>
      </x:c>
      <x:c r="M62" s="51" t="n">
        <x:v>32</x:v>
      </x:c>
      <x:c r="N62" s="51" t="n">
        <x:v>-1</x:v>
      </x:c>
      <x:c r="O62" s="51" t="n">
        <x:v>-1</x:v>
      </x:c>
      <x:c r="P62" s="55" t="n">
        <x:f>COUNTIFS(H62:K62,"&gt;=0")</x:f>
        <x:v>3</x:v>
      </x:c>
      <x:c r="Q62" s="55" t="n">
        <x:f>P62*2</x:f>
        <x:v>6</x:v>
      </x:c>
      <x:c r="R62" s="55" t="n">
        <x:f>Q62*4</x:f>
        <x:v>24</x:v>
      </x:c>
      <x:c r="S62" s="55" t="n">
        <x:f>IF(G62&gt;2,1,0)</x:f>
        <x:v>0</x:v>
      </x:c>
      <x:c r="T62" s="55" t="n">
        <x:f>IF(MAX(H62:K62)&gt;2,1,0)</x:f>
        <x:v>0</x:v>
      </x:c>
      <x:c r="U62" s="55" t="n">
        <x:f>IF(L62&lt;&gt;Q62,1,0)</x:f>
        <x:v>1</x:v>
      </x:c>
      <x:c r="V62" s="55" t="n">
        <x:f>IF(M62&lt;&gt;R62,1,0)</x:f>
        <x:v>1</x:v>
      </x:c>
      <x:c r="W62" s="50" t="str">
        <x:v>v3/log.txt</x:v>
      </x:c>
      <x:c r="X62" s="53" t="n">
        <x:v>37</x:v>
      </x:c>
    </x:row>
    <x:row r="63" ht="24" customHeight="1">
      <x:c r="A63" s="35" t="str">
        <x:v>V3</x:v>
      </x:c>
      <x:c r="B63" s="48" t="n">
        <x:v>7</x:v>
      </x:c>
      <x:c r="C63" s="49" t="n">
        <x:v>6.04</x:v>
      </x:c>
      <x:c r="D63" s="48" t="n">
        <x:v>4</x:v>
      </x:c>
      <x:c r="E63" s="48" t="n">
        <x:v>1</x:v>
      </x:c>
      <x:c r="F63" s="48" t="n">
        <x:v>1</x:v>
      </x:c>
      <x:c r="G63" s="48" t="n">
        <x:v>1</x:v>
      </x:c>
      <x:c r="H63" s="48" t="n">
        <x:v>1</x:v>
      </x:c>
      <x:c r="I63" s="48" t="n">
        <x:v>2</x:v>
      </x:c>
      <x:c r="J63" s="48" t="n">
        <x:v>1</x:v>
      </x:c>
      <x:c r="K63" s="48" t="n">
        <x:v>1</x:v>
      </x:c>
      <x:c r="L63" s="48" t="n">
        <x:v>8</x:v>
      </x:c>
      <x:c r="M63" s="48" t="n">
        <x:v>32</x:v>
      </x:c>
      <x:c r="N63" s="48" t="n">
        <x:v>-1</x:v>
      </x:c>
      <x:c r="O63" s="48" t="n">
        <x:v>-1</x:v>
      </x:c>
      <x:c r="P63" s="54" t="n">
        <x:f>COUNTIFS(H63:K63,"&gt;=0")</x:f>
        <x:v>4</x:v>
      </x:c>
      <x:c r="Q63" s="54" t="n">
        <x:f>P63*2</x:f>
        <x:v>8</x:v>
      </x:c>
      <x:c r="R63" s="54" t="n">
        <x:f>Q63*4</x:f>
        <x:v>32</x:v>
      </x:c>
      <x:c r="S63" s="54" t="n">
        <x:f>IF(G63&gt;2,1,0)</x:f>
        <x:v>0</x:v>
      </x:c>
      <x:c r="T63" s="54" t="n">
        <x:f>IF(MAX(H63:K63)&gt;2,1,0)</x:f>
        <x:v>0</x:v>
      </x:c>
      <x:c r="U63" s="54" t="n">
        <x:f>IF(L63&lt;&gt;Q63,1,0)</x:f>
        <x:v>0</x:v>
      </x:c>
      <x:c r="V63" s="54" t="n">
        <x:f>IF(M63&lt;&gt;R63,1,0)</x:f>
        <x:v>0</x:v>
      </x:c>
      <x:c r="W63" s="35" t="str">
        <x:v>v3/log.txt</x:v>
      </x:c>
      <x:c r="X63" s="46" t="n">
        <x:v>44</x:v>
      </x:c>
    </x:row>
    <x:row r="64" ht="24" customHeight="1">
      <x:c r="A64" s="50" t="str">
        <x:v>V3</x:v>
      </x:c>
      <x:c r="B64" s="51" t="n">
        <x:v>8</x:v>
      </x:c>
      <x:c r="C64" s="52" t="n">
        <x:v>6.04</x:v>
      </x:c>
      <x:c r="D64" s="51" t="n">
        <x:v>7</x:v>
      </x:c>
      <x:c r="E64" s="51" t="n">
        <x:v>2</x:v>
      </x:c>
      <x:c r="F64" s="51" t="n">
        <x:v>1</x:v>
      </x:c>
      <x:c r="G64" s="51" t="n">
        <x:v>1</x:v>
      </x:c>
      <x:c r="H64" s="51" t="n">
        <x:v>1</x:v>
      </x:c>
      <x:c r="I64" s="51" t="n">
        <x:v>-2</x:v>
      </x:c>
      <x:c r="J64" s="51" t="n">
        <x:v>2</x:v>
      </x:c>
      <x:c r="K64" s="51" t="n">
        <x:v>1</x:v>
      </x:c>
      <x:c r="L64" s="51" t="n">
        <x:v>8</x:v>
      </x:c>
      <x:c r="M64" s="51" t="n">
        <x:v>32</x:v>
      </x:c>
      <x:c r="N64" s="51" t="n">
        <x:v>-1</x:v>
      </x:c>
      <x:c r="O64" s="51" t="n">
        <x:v>-1</x:v>
      </x:c>
      <x:c r="P64" s="55" t="n">
        <x:f>COUNTIFS(H64:K64,"&gt;=0")</x:f>
        <x:v>3</x:v>
      </x:c>
      <x:c r="Q64" s="55" t="n">
        <x:f>P64*2</x:f>
        <x:v>6</x:v>
      </x:c>
      <x:c r="R64" s="55" t="n">
        <x:f>Q64*4</x:f>
        <x:v>24</x:v>
      </x:c>
      <x:c r="S64" s="55" t="n">
        <x:f>IF(G64&gt;2,1,0)</x:f>
        <x:v>0</x:v>
      </x:c>
      <x:c r="T64" s="55" t="n">
        <x:f>IF(MAX(H64:K64)&gt;2,1,0)</x:f>
        <x:v>0</x:v>
      </x:c>
      <x:c r="U64" s="55" t="n">
        <x:f>IF(L64&lt;&gt;Q64,1,0)</x:f>
        <x:v>1</x:v>
      </x:c>
      <x:c r="V64" s="55" t="n">
        <x:f>IF(M64&lt;&gt;R64,1,0)</x:f>
        <x:v>1</x:v>
      </x:c>
      <x:c r="W64" s="50" t="str">
        <x:v>v3/log.txt</x:v>
      </x:c>
      <x:c r="X64" s="53" t="n">
        <x:v>51</x:v>
      </x:c>
    </x:row>
    <x:row r="65" ht="24" customHeight="1">
      <x:c r="A65" s="35" t="str">
        <x:v>V3</x:v>
      </x:c>
      <x:c r="B65" s="48" t="n">
        <x:v>9</x:v>
      </x:c>
      <x:c r="C65" s="49" t="n">
        <x:v>6.04</x:v>
      </x:c>
      <x:c r="D65" s="48" t="n">
        <x:v>6</x:v>
      </x:c>
      <x:c r="E65" s="48" t="n">
        <x:v>2</x:v>
      </x:c>
      <x:c r="F65" s="48" t="n">
        <x:v>0</x:v>
      </x:c>
      <x:c r="G65" s="48" t="n">
        <x:v>1</x:v>
      </x:c>
      <x:c r="H65" s="48" t="n">
        <x:v>1</x:v>
      </x:c>
      <x:c r="I65" s="48" t="n">
        <x:v>-2</x:v>
      </x:c>
      <x:c r="J65" s="48" t="n">
        <x:v>-2</x:v>
      </x:c>
      <x:c r="K65" s="48" t="n">
        <x:v>2</x:v>
      </x:c>
      <x:c r="L65" s="48" t="n">
        <x:v>8</x:v>
      </x:c>
      <x:c r="M65" s="48" t="n">
        <x:v>32</x:v>
      </x:c>
      <x:c r="N65" s="48" t="n">
        <x:v>-1</x:v>
      </x:c>
      <x:c r="O65" s="48" t="n">
        <x:v>-1</x:v>
      </x:c>
      <x:c r="P65" s="54" t="n">
        <x:f>COUNTIFS(H65:K65,"&gt;=0")</x:f>
        <x:v>2</x:v>
      </x:c>
      <x:c r="Q65" s="54" t="n">
        <x:f>P65*2</x:f>
        <x:v>4</x:v>
      </x:c>
      <x:c r="R65" s="54" t="n">
        <x:f>Q65*4</x:f>
        <x:v>16</x:v>
      </x:c>
      <x:c r="S65" s="54" t="n">
        <x:f>IF(G65&gt;2,1,0)</x:f>
        <x:v>0</x:v>
      </x:c>
      <x:c r="T65" s="54" t="n">
        <x:f>IF(MAX(H65:K65)&gt;2,1,0)</x:f>
        <x:v>0</x:v>
      </x:c>
      <x:c r="U65" s="54" t="n">
        <x:f>IF(L65&lt;&gt;Q65,1,0)</x:f>
        <x:v>1</x:v>
      </x:c>
      <x:c r="V65" s="54" t="n">
        <x:f>IF(M65&lt;&gt;R65,1,0)</x:f>
        <x:v>1</x:v>
      </x:c>
      <x:c r="W65" s="35" t="str">
        <x:v>v3/log.txt</x:v>
      </x:c>
      <x:c r="X65" s="46" t="n">
        <x:v>59</x:v>
      </x:c>
    </x:row>
    <x:row r="66" ht="24" customHeight="1">
      <x:c r="A66" s="50" t="str">
        <x:v>V3</x:v>
      </x:c>
      <x:c r="B66" s="51" t="n">
        <x:v>10</x:v>
      </x:c>
      <x:c r="C66" s="52" t="n">
        <x:v>9.04</x:v>
      </x:c>
      <x:c r="D66" s="51" t="n">
        <x:v>2</x:v>
      </x:c>
      <x:c r="E66" s="51" t="n">
        <x:v>0</x:v>
      </x:c>
      <x:c r="F66" s="51" t="n">
        <x:v>2</x:v>
      </x:c>
      <x:c r="G66" s="51" t="n">
        <x:v>1</x:v>
      </x:c>
      <x:c r="H66" s="51" t="n">
        <x:v>-2</x:v>
      </x:c>
      <x:c r="I66" s="51" t="n">
        <x:v>1</x:v>
      </x:c>
      <x:c r="J66" s="51" t="n">
        <x:v>1</x:v>
      </x:c>
      <x:c r="K66" s="51" t="n">
        <x:v>-2</x:v>
      </x:c>
      <x:c r="L66" s="51" t="n">
        <x:v>8</x:v>
      </x:c>
      <x:c r="M66" s="51" t="n">
        <x:v>32</x:v>
      </x:c>
      <x:c r="N66" s="51" t="n">
        <x:v>-1</x:v>
      </x:c>
      <x:c r="O66" s="51" t="n">
        <x:v>-1</x:v>
      </x:c>
      <x:c r="P66" s="55" t="n">
        <x:f>COUNTIFS(H66:K66,"&gt;=0")</x:f>
        <x:v>2</x:v>
      </x:c>
      <x:c r="Q66" s="55" t="n">
        <x:f>P66*2</x:f>
        <x:v>4</x:v>
      </x:c>
      <x:c r="R66" s="55" t="n">
        <x:f>Q66*4</x:f>
        <x:v>16</x:v>
      </x:c>
      <x:c r="S66" s="55" t="n">
        <x:f>IF(G66&gt;2,1,0)</x:f>
        <x:v>0</x:v>
      </x:c>
      <x:c r="T66" s="55" t="n">
        <x:f>IF(MAX(H66:K66)&gt;2,1,0)</x:f>
        <x:v>0</x:v>
      </x:c>
      <x:c r="U66" s="55" t="n">
        <x:f>IF(L66&lt;&gt;Q66,1,0)</x:f>
        <x:v>1</x:v>
      </x:c>
      <x:c r="V66" s="55" t="n">
        <x:f>IF(M66&lt;&gt;R66,1,0)</x:f>
        <x:v>1</x:v>
      </x:c>
      <x:c r="W66" s="50" t="str">
        <x:v>v3/log.txt</x:v>
      </x:c>
      <x:c r="X66" s="53" t="n">
        <x:v>66</x:v>
      </x:c>
    </x:row>
    <x:row r="67" ht="24" customHeight="1">
      <x:c r="A67" s="35" t="str">
        <x:v>V3</x:v>
      </x:c>
      <x:c r="B67" s="48" t="n">
        <x:v>11</x:v>
      </x:c>
      <x:c r="C67" s="49" t="n">
        <x:v>9.04</x:v>
      </x:c>
      <x:c r="D67" s="48" t="n">
        <x:v>1</x:v>
      </x:c>
      <x:c r="E67" s="48" t="n">
        <x:v>0</x:v>
      </x:c>
      <x:c r="F67" s="48" t="n">
        <x:v>1</x:v>
      </x:c>
      <x:c r="G67" s="48" t="n">
        <x:v>1</x:v>
      </x:c>
      <x:c r="H67" s="48" t="n">
        <x:v>-2</x:v>
      </x:c>
      <x:c r="I67" s="48" t="n">
        <x:v>1</x:v>
      </x:c>
      <x:c r="J67" s="48" t="n">
        <x:v>1</x:v>
      </x:c>
      <x:c r="K67" s="48" t="n">
        <x:v>1</x:v>
      </x:c>
      <x:c r="L67" s="48" t="n">
        <x:v>8</x:v>
      </x:c>
      <x:c r="M67" s="48" t="n">
        <x:v>32</x:v>
      </x:c>
      <x:c r="N67" s="48" t="n">
        <x:v>-1</x:v>
      </x:c>
      <x:c r="O67" s="48" t="n">
        <x:v>-1</x:v>
      </x:c>
      <x:c r="P67" s="54" t="n">
        <x:f>COUNTIFS(H67:K67,"&gt;=0")</x:f>
        <x:v>3</x:v>
      </x:c>
      <x:c r="Q67" s="54" t="n">
        <x:f>P67*2</x:f>
        <x:v>6</x:v>
      </x:c>
      <x:c r="R67" s="54" t="n">
        <x:f>Q67*4</x:f>
        <x:v>24</x:v>
      </x:c>
      <x:c r="S67" s="54" t="n">
        <x:f>IF(G67&gt;2,1,0)</x:f>
        <x:v>0</x:v>
      </x:c>
      <x:c r="T67" s="54" t="n">
        <x:f>IF(MAX(H67:K67)&gt;2,1,0)</x:f>
        <x:v>0</x:v>
      </x:c>
      <x:c r="U67" s="54" t="n">
        <x:f>IF(L67&lt;&gt;Q67,1,0)</x:f>
        <x:v>1</x:v>
      </x:c>
      <x:c r="V67" s="54" t="n">
        <x:f>IF(M67&lt;&gt;R67,1,0)</x:f>
        <x:v>1</x:v>
      </x:c>
      <x:c r="W67" s="35" t="str">
        <x:v>v3/log.txt</x:v>
      </x:c>
      <x:c r="X67" s="46" t="n">
        <x:v>73</x:v>
      </x:c>
    </x:row>
    <x:row r="68" ht="24" customHeight="1">
      <x:c r="A68" s="50" t="str">
        <x:v>V3</x:v>
      </x:c>
      <x:c r="B68" s="51" t="n">
        <x:v>12</x:v>
      </x:c>
      <x:c r="C68" s="52" t="n">
        <x:v>9.04</x:v>
      </x:c>
      <x:c r="D68" s="51" t="n">
        <x:v>5</x:v>
      </x:c>
      <x:c r="E68" s="51" t="n">
        <x:v>1</x:v>
      </x:c>
      <x:c r="F68" s="51" t="n">
        <x:v>2</x:v>
      </x:c>
      <x:c r="G68" s="51" t="n">
        <x:v>1</x:v>
      </x:c>
      <x:c r="H68" s="51" t="n">
        <x:v>1</x:v>
      </x:c>
      <x:c r="I68" s="51" t="n">
        <x:v>1</x:v>
      </x:c>
      <x:c r="J68" s="51" t="n">
        <x:v>1</x:v>
      </x:c>
      <x:c r="K68" s="51" t="n">
        <x:v>-2</x:v>
      </x:c>
      <x:c r="L68" s="51" t="n">
        <x:v>8</x:v>
      </x:c>
      <x:c r="M68" s="51" t="n">
        <x:v>32</x:v>
      </x:c>
      <x:c r="N68" s="51" t="n">
        <x:v>-1</x:v>
      </x:c>
      <x:c r="O68" s="51" t="n">
        <x:v>-1</x:v>
      </x:c>
      <x:c r="P68" s="55" t="n">
        <x:f>COUNTIFS(H68:K68,"&gt;=0")</x:f>
        <x:v>3</x:v>
      </x:c>
      <x:c r="Q68" s="55" t="n">
        <x:f>P68*2</x:f>
        <x:v>6</x:v>
      </x:c>
      <x:c r="R68" s="55" t="n">
        <x:f>Q68*4</x:f>
        <x:v>24</x:v>
      </x:c>
      <x:c r="S68" s="55" t="n">
        <x:f>IF(G68&gt;2,1,0)</x:f>
        <x:v>0</x:v>
      </x:c>
      <x:c r="T68" s="55" t="n">
        <x:f>IF(MAX(H68:K68)&gt;2,1,0)</x:f>
        <x:v>0</x:v>
      </x:c>
      <x:c r="U68" s="55" t="n">
        <x:f>IF(L68&lt;&gt;Q68,1,0)</x:f>
        <x:v>1</x:v>
      </x:c>
      <x:c r="V68" s="55" t="n">
        <x:f>IF(M68&lt;&gt;R68,1,0)</x:f>
        <x:v>1</x:v>
      </x:c>
      <x:c r="W68" s="50" t="str">
        <x:v>v3/log.txt</x:v>
      </x:c>
      <x:c r="X68" s="53" t="n">
        <x:v>80</x:v>
      </x:c>
    </x:row>
    <x:row r="69" ht="24" customHeight="1">
      <x:c r="A69" s="35" t="str">
        <x:v>V3</x:v>
      </x:c>
      <x:c r="B69" s="48" t="n">
        <x:v>13</x:v>
      </x:c>
      <x:c r="C69" s="49" t="n">
        <x:v>9.04</x:v>
      </x:c>
      <x:c r="D69" s="48" t="n">
        <x:v>8</x:v>
      </x:c>
      <x:c r="E69" s="48" t="n">
        <x:v>2</x:v>
      </x:c>
      <x:c r="F69" s="48" t="n">
        <x:v>2</x:v>
      </x:c>
      <x:c r="G69" s="48" t="n">
        <x:v>1</x:v>
      </x:c>
      <x:c r="H69" s="48" t="n">
        <x:v>1</x:v>
      </x:c>
      <x:c r="I69" s="48" t="n">
        <x:v>-2</x:v>
      </x:c>
      <x:c r="J69" s="48" t="n">
        <x:v>1</x:v>
      </x:c>
      <x:c r="K69" s="48" t="n">
        <x:v>-2</x:v>
      </x:c>
      <x:c r="L69" s="48" t="n">
        <x:v>8</x:v>
      </x:c>
      <x:c r="M69" s="48" t="n">
        <x:v>32</x:v>
      </x:c>
      <x:c r="N69" s="48" t="n">
        <x:v>-1</x:v>
      </x:c>
      <x:c r="O69" s="48" t="n">
        <x:v>-1</x:v>
      </x:c>
      <x:c r="P69" s="54" t="n">
        <x:f>COUNTIFS(H69:K69,"&gt;=0")</x:f>
        <x:v>2</x:v>
      </x:c>
      <x:c r="Q69" s="54" t="n">
        <x:f>P69*2</x:f>
        <x:v>4</x:v>
      </x:c>
      <x:c r="R69" s="54" t="n">
        <x:f>Q69*4</x:f>
        <x:v>16</x:v>
      </x:c>
      <x:c r="S69" s="54" t="n">
        <x:f>IF(G69&gt;2,1,0)</x:f>
        <x:v>0</x:v>
      </x:c>
      <x:c r="T69" s="54" t="n">
        <x:f>IF(MAX(H69:K69)&gt;2,1,0)</x:f>
        <x:v>0</x:v>
      </x:c>
      <x:c r="U69" s="54" t="n">
        <x:f>IF(L69&lt;&gt;Q69,1,0)</x:f>
        <x:v>1</x:v>
      </x:c>
      <x:c r="V69" s="54" t="n">
        <x:f>IF(M69&lt;&gt;R69,1,0)</x:f>
        <x:v>1</x:v>
      </x:c>
      <x:c r="W69" s="35" t="str">
        <x:v>v3/log.txt</x:v>
      </x:c>
      <x:c r="X69" s="46" t="n">
        <x:v>87</x:v>
      </x:c>
    </x:row>
    <x:row r="70" ht="24" customHeight="1">
      <x:c r="A70" s="50" t="str">
        <x:v>V3</x:v>
      </x:c>
      <x:c r="B70" s="51" t="n">
        <x:v>14</x:v>
      </x:c>
      <x:c r="C70" s="52" t="n">
        <x:v>9.04</x:v>
      </x:c>
      <x:c r="D70" s="51" t="n">
        <x:v>0</x:v>
      </x:c>
      <x:c r="E70" s="51" t="n">
        <x:v>0</x:v>
      </x:c>
      <x:c r="F70" s="51" t="n">
        <x:v>0</x:v>
      </x:c>
      <x:c r="G70" s="51" t="n">
        <x:v>1</x:v>
      </x:c>
      <x:c r="H70" s="51" t="n">
        <x:v>-2</x:v>
      </x:c>
      <x:c r="I70" s="51" t="n">
        <x:v>1</x:v>
      </x:c>
      <x:c r="J70" s="51" t="n">
        <x:v>-2</x:v>
      </x:c>
      <x:c r="K70" s="51" t="n">
        <x:v>1</x:v>
      </x:c>
      <x:c r="L70" s="51" t="n">
        <x:v>8</x:v>
      </x:c>
      <x:c r="M70" s="51" t="n">
        <x:v>32</x:v>
      </x:c>
      <x:c r="N70" s="51" t="n">
        <x:v>-1</x:v>
      </x:c>
      <x:c r="O70" s="51" t="n">
        <x:v>-1</x:v>
      </x:c>
      <x:c r="P70" s="55" t="n">
        <x:f>COUNTIFS(H70:K70,"&gt;=0")</x:f>
        <x:v>2</x:v>
      </x:c>
      <x:c r="Q70" s="55" t="n">
        <x:f>P70*2</x:f>
        <x:v>4</x:v>
      </x:c>
      <x:c r="R70" s="55" t="n">
        <x:f>Q70*4</x:f>
        <x:v>16</x:v>
      </x:c>
      <x:c r="S70" s="55" t="n">
        <x:f>IF(G70&gt;2,1,0)</x:f>
        <x:v>0</x:v>
      </x:c>
      <x:c r="T70" s="55" t="n">
        <x:f>IF(MAX(H70:K70)&gt;2,1,0)</x:f>
        <x:v>0</x:v>
      </x:c>
      <x:c r="U70" s="55" t="n">
        <x:f>IF(L70&lt;&gt;Q70,1,0)</x:f>
        <x:v>1</x:v>
      </x:c>
      <x:c r="V70" s="55" t="n">
        <x:f>IF(M70&lt;&gt;R70,1,0)</x:f>
        <x:v>1</x:v>
      </x:c>
      <x:c r="W70" s="50" t="str">
        <x:v>v3/log.txt</x:v>
      </x:c>
      <x:c r="X70" s="53" t="n">
        <x:v>94</x:v>
      </x:c>
    </x:row>
    <x:row r="71" ht="24" customHeight="1">
      <x:c r="A71" s="35" t="str">
        <x:v>V3</x:v>
      </x:c>
      <x:c r="B71" s="48" t="n">
        <x:v>15</x:v>
      </x:c>
      <x:c r="C71" s="49" t="n">
        <x:v>9.04</x:v>
      </x:c>
      <x:c r="D71" s="48" t="n">
        <x:v>3</x:v>
      </x:c>
      <x:c r="E71" s="48" t="n">
        <x:v>1</x:v>
      </x:c>
      <x:c r="F71" s="48" t="n">
        <x:v>0</x:v>
      </x:c>
      <x:c r="G71" s="48" t="n">
        <x:v>1</x:v>
      </x:c>
      <x:c r="H71" s="48" t="n">
        <x:v>1</x:v>
      </x:c>
      <x:c r="I71" s="48" t="n">
        <x:v>1</x:v>
      </x:c>
      <x:c r="J71" s="48" t="n">
        <x:v>-2</x:v>
      </x:c>
      <x:c r="K71" s="48" t="n">
        <x:v>1</x:v>
      </x:c>
      <x:c r="L71" s="48" t="n">
        <x:v>8</x:v>
      </x:c>
      <x:c r="M71" s="48" t="n">
        <x:v>32</x:v>
      </x:c>
      <x:c r="N71" s="48" t="n">
        <x:v>-1</x:v>
      </x:c>
      <x:c r="O71" s="48" t="n">
        <x:v>-1</x:v>
      </x:c>
      <x:c r="P71" s="54" t="n">
        <x:f>COUNTIFS(H71:K71,"&gt;=0")</x:f>
        <x:v>3</x:v>
      </x:c>
      <x:c r="Q71" s="54" t="n">
        <x:f>P71*2</x:f>
        <x:v>6</x:v>
      </x:c>
      <x:c r="R71" s="54" t="n">
        <x:f>Q71*4</x:f>
        <x:v>24</x:v>
      </x:c>
      <x:c r="S71" s="54" t="n">
        <x:f>IF(G71&gt;2,1,0)</x:f>
        <x:v>0</x:v>
      </x:c>
      <x:c r="T71" s="54" t="n">
        <x:f>IF(MAX(H71:K71)&gt;2,1,0)</x:f>
        <x:v>0</x:v>
      </x:c>
      <x:c r="U71" s="54" t="n">
        <x:f>IF(L71&lt;&gt;Q71,1,0)</x:f>
        <x:v>1</x:v>
      </x:c>
      <x:c r="V71" s="54" t="n">
        <x:f>IF(M71&lt;&gt;R71,1,0)</x:f>
        <x:v>1</x:v>
      </x:c>
      <x:c r="W71" s="35" t="str">
        <x:v>v3/log.txt</x:v>
      </x:c>
      <x:c r="X71" s="46" t="n">
        <x:v>101</x:v>
      </x:c>
    </x:row>
    <x:row r="72" ht="24" customHeight="1">
      <x:c r="A72" s="50" t="str">
        <x:v>V3</x:v>
      </x:c>
      <x:c r="B72" s="51" t="n">
        <x:v>16</x:v>
      </x:c>
      <x:c r="C72" s="52" t="n">
        <x:v>9.04</x:v>
      </x:c>
      <x:c r="D72" s="51" t="n">
        <x:v>4</x:v>
      </x:c>
      <x:c r="E72" s="51" t="n">
        <x:v>1</x:v>
      </x:c>
      <x:c r="F72" s="51" t="n">
        <x:v>1</x:v>
      </x:c>
      <x:c r="G72" s="51" t="n">
        <x:v>1</x:v>
      </x:c>
      <x:c r="H72" s="51" t="n">
        <x:v>1</x:v>
      </x:c>
      <x:c r="I72" s="51" t="n">
        <x:v>1</x:v>
      </x:c>
      <x:c r="J72" s="51" t="n">
        <x:v>1</x:v>
      </x:c>
      <x:c r="K72" s="51" t="n">
        <x:v>1</x:v>
      </x:c>
      <x:c r="L72" s="51" t="n">
        <x:v>8</x:v>
      </x:c>
      <x:c r="M72" s="51" t="n">
        <x:v>32</x:v>
      </x:c>
      <x:c r="N72" s="51" t="n">
        <x:v>-1</x:v>
      </x:c>
      <x:c r="O72" s="51" t="n">
        <x:v>-1</x:v>
      </x:c>
      <x:c r="P72" s="55" t="n">
        <x:f>COUNTIFS(H72:K72,"&gt;=0")</x:f>
        <x:v>4</x:v>
      </x:c>
      <x:c r="Q72" s="55" t="n">
        <x:f>P72*2</x:f>
        <x:v>8</x:v>
      </x:c>
      <x:c r="R72" s="55" t="n">
        <x:f>Q72*4</x:f>
        <x:v>32</x:v>
      </x:c>
      <x:c r="S72" s="55" t="n">
        <x:f>IF(G72&gt;2,1,0)</x:f>
        <x:v>0</x:v>
      </x:c>
      <x:c r="T72" s="55" t="n">
        <x:f>IF(MAX(H72:K72)&gt;2,1,0)</x:f>
        <x:v>0</x:v>
      </x:c>
      <x:c r="U72" s="55" t="n">
        <x:f>IF(L72&lt;&gt;Q72,1,0)</x:f>
        <x:v>0</x:v>
      </x:c>
      <x:c r="V72" s="55" t="n">
        <x:f>IF(M72&lt;&gt;R72,1,0)</x:f>
        <x:v>0</x:v>
      </x:c>
      <x:c r="W72" s="50" t="str">
        <x:v>v3/log.txt</x:v>
      </x:c>
      <x:c r="X72" s="53" t="n">
        <x:v>108</x:v>
      </x:c>
    </x:row>
    <x:row r="73" ht="24" customHeight="1">
      <x:c r="A73" s="35" t="str">
        <x:v>V3</x:v>
      </x:c>
      <x:c r="B73" s="48" t="n">
        <x:v>17</x:v>
      </x:c>
      <x:c r="C73" s="49" t="n">
        <x:v>9.05</x:v>
      </x:c>
      <x:c r="D73" s="48" t="n">
        <x:v>6</x:v>
      </x:c>
      <x:c r="E73" s="48" t="n">
        <x:v>2</x:v>
      </x:c>
      <x:c r="F73" s="48" t="n">
        <x:v>0</x:v>
      </x:c>
      <x:c r="G73" s="48" t="n">
        <x:v>1</x:v>
      </x:c>
      <x:c r="H73" s="48" t="n">
        <x:v>1</x:v>
      </x:c>
      <x:c r="I73" s="48" t="n">
        <x:v>-2</x:v>
      </x:c>
      <x:c r="J73" s="48" t="n">
        <x:v>-2</x:v>
      </x:c>
      <x:c r="K73" s="48" t="n">
        <x:v>1</x:v>
      </x:c>
      <x:c r="L73" s="48" t="n">
        <x:v>8</x:v>
      </x:c>
      <x:c r="M73" s="48" t="n">
        <x:v>32</x:v>
      </x:c>
      <x:c r="N73" s="48" t="n">
        <x:v>-1</x:v>
      </x:c>
      <x:c r="O73" s="48" t="n">
        <x:v>-1</x:v>
      </x:c>
      <x:c r="P73" s="54" t="n">
        <x:f>COUNTIFS(H73:K73,"&gt;=0")</x:f>
        <x:v>2</x:v>
      </x:c>
      <x:c r="Q73" s="54" t="n">
        <x:f>P73*2</x:f>
        <x:v>4</x:v>
      </x:c>
      <x:c r="R73" s="54" t="n">
        <x:f>Q73*4</x:f>
        <x:v>16</x:v>
      </x:c>
      <x:c r="S73" s="54" t="n">
        <x:f>IF(G73&gt;2,1,0)</x:f>
        <x:v>0</x:v>
      </x:c>
      <x:c r="T73" s="54" t="n">
        <x:f>IF(MAX(H73:K73)&gt;2,1,0)</x:f>
        <x:v>0</x:v>
      </x:c>
      <x:c r="U73" s="54" t="n">
        <x:f>IF(L73&lt;&gt;Q73,1,0)</x:f>
        <x:v>1</x:v>
      </x:c>
      <x:c r="V73" s="54" t="n">
        <x:f>IF(M73&lt;&gt;R73,1,0)</x:f>
        <x:v>1</x:v>
      </x:c>
      <x:c r="W73" s="35" t="str">
        <x:v>v3/log.txt</x:v>
      </x:c>
      <x:c r="X73" s="46" t="n">
        <x:v>115</x:v>
      </x:c>
    </x:row>
    <x:row r="74" ht="24" customHeight="1">
      <x:c r="A74" s="50" t="str">
        <x:v>V3</x:v>
      </x:c>
      <x:c r="B74" s="51" t="n">
        <x:v>18</x:v>
      </x:c>
      <x:c r="C74" s="52" t="n">
        <x:v>9.05</x:v>
      </x:c>
      <x:c r="D74" s="51" t="n">
        <x:v>7</x:v>
      </x:c>
      <x:c r="E74" s="51" t="n">
        <x:v>2</x:v>
      </x:c>
      <x:c r="F74" s="51" t="n">
        <x:v>1</x:v>
      </x:c>
      <x:c r="G74" s="51" t="n">
        <x:v>1</x:v>
      </x:c>
      <x:c r="H74" s="51" t="n">
        <x:v>1</x:v>
      </x:c>
      <x:c r="I74" s="51" t="n">
        <x:v>-2</x:v>
      </x:c>
      <x:c r="J74" s="51" t="n">
        <x:v>1</x:v>
      </x:c>
      <x:c r="K74" s="51" t="n">
        <x:v>1</x:v>
      </x:c>
      <x:c r="L74" s="51" t="n">
        <x:v>8</x:v>
      </x:c>
      <x:c r="M74" s="51" t="n">
        <x:v>32</x:v>
      </x:c>
      <x:c r="N74" s="51" t="n">
        <x:v>-1</x:v>
      </x:c>
      <x:c r="O74" s="51" t="n">
        <x:v>-1</x:v>
      </x:c>
      <x:c r="P74" s="55" t="n">
        <x:f>COUNTIFS(H74:K74,"&gt;=0")</x:f>
        <x:v>3</x:v>
      </x:c>
      <x:c r="Q74" s="55" t="n">
        <x:f>P74*2</x:f>
        <x:v>6</x:v>
      </x:c>
      <x:c r="R74" s="55" t="n">
        <x:f>Q74*4</x:f>
        <x:v>24</x:v>
      </x:c>
      <x:c r="S74" s="55" t="n">
        <x:f>IF(G74&gt;2,1,0)</x:f>
        <x:v>0</x:v>
      </x:c>
      <x:c r="T74" s="55" t="n">
        <x:f>IF(MAX(H74:K74)&gt;2,1,0)</x:f>
        <x:v>0</x:v>
      </x:c>
      <x:c r="U74" s="55" t="n">
        <x:f>IF(L74&lt;&gt;Q74,1,0)</x:f>
        <x:v>1</x:v>
      </x:c>
      <x:c r="V74" s="55" t="n">
        <x:f>IF(M74&lt;&gt;R74,1,0)</x:f>
        <x:v>1</x:v>
      </x:c>
      <x:c r="W74" s="50" t="str">
        <x:v>v3/log.txt</x:v>
      </x:c>
      <x:c r="X74" s="53" t="n">
        <x:v>123</x:v>
      </x:c>
    </x:row>
    <x:row r="75" ht="24" customHeight="1">
      <x:c r="A75" s="35" t="str">
        <x:v>V3</x:v>
      </x:c>
      <x:c r="B75" s="48" t="n">
        <x:v>19</x:v>
      </x:c>
      <x:c r="C75" s="49" t="n">
        <x:v>12.04</x:v>
      </x:c>
      <x:c r="D75" s="48" t="n">
        <x:v>1</x:v>
      </x:c>
      <x:c r="E75" s="48" t="n">
        <x:v>0</x:v>
      </x:c>
      <x:c r="F75" s="48" t="n">
        <x:v>1</x:v>
      </x:c>
      <x:c r="G75" s="48" t="n">
        <x:v>0</x:v>
      </x:c>
      <x:c r="H75" s="48" t="n">
        <x:v>-2</x:v>
      </x:c>
      <x:c r="I75" s="48" t="n">
        <x:v>1</x:v>
      </x:c>
      <x:c r="J75" s="48" t="n">
        <x:v>0</x:v>
      </x:c>
      <x:c r="K75" s="48" t="n">
        <x:v>1</x:v>
      </x:c>
      <x:c r="L75" s="48" t="n">
        <x:v>8</x:v>
      </x:c>
      <x:c r="M75" s="48" t="n">
        <x:v>32</x:v>
      </x:c>
      <x:c r="N75" s="48" t="n">
        <x:v>-1</x:v>
      </x:c>
      <x:c r="O75" s="48" t="n">
        <x:v>-1</x:v>
      </x:c>
      <x:c r="P75" s="54" t="n">
        <x:f>COUNTIFS(H75:K75,"&gt;=0")</x:f>
        <x:v>3</x:v>
      </x:c>
      <x:c r="Q75" s="54" t="n">
        <x:f>P75*2</x:f>
        <x:v>6</x:v>
      </x:c>
      <x:c r="R75" s="54" t="n">
        <x:f>Q75*4</x:f>
        <x:v>24</x:v>
      </x:c>
      <x:c r="S75" s="54" t="n">
        <x:f>IF(G75&gt;2,1,0)</x:f>
        <x:v>0</x:v>
      </x:c>
      <x:c r="T75" s="54" t="n">
        <x:f>IF(MAX(H75:K75)&gt;2,1,0)</x:f>
        <x:v>0</x:v>
      </x:c>
      <x:c r="U75" s="54" t="n">
        <x:f>IF(L75&lt;&gt;Q75,1,0)</x:f>
        <x:v>1</x:v>
      </x:c>
      <x:c r="V75" s="54" t="n">
        <x:f>IF(M75&lt;&gt;R75,1,0)</x:f>
        <x:v>1</x:v>
      </x:c>
      <x:c r="W75" s="35" t="str">
        <x:v>v3/log.txt</x:v>
      </x:c>
      <x:c r="X75" s="46" t="n">
        <x:v>130</x:v>
      </x:c>
    </x:row>
    <x:row r="76" ht="24" customHeight="1">
      <x:c r="A76" s="50" t="str">
        <x:v>V3</x:v>
      </x:c>
      <x:c r="B76" s="51" t="n">
        <x:v>20</x:v>
      </x:c>
      <x:c r="C76" s="52" t="n">
        <x:v>12.04</x:v>
      </x:c>
      <x:c r="D76" s="51" t="n">
        <x:v>2</x:v>
      </x:c>
      <x:c r="E76" s="51" t="n">
        <x:v>0</x:v>
      </x:c>
      <x:c r="F76" s="51" t="n">
        <x:v>2</x:v>
      </x:c>
      <x:c r="G76" s="51" t="n">
        <x:v>0</x:v>
      </x:c>
      <x:c r="H76" s="51" t="n">
        <x:v>-2</x:v>
      </x:c>
      <x:c r="I76" s="51" t="n">
        <x:v>1</x:v>
      </x:c>
      <x:c r="J76" s="51" t="n">
        <x:v>0</x:v>
      </x:c>
      <x:c r="K76" s="51" t="n">
        <x:v>-2</x:v>
      </x:c>
      <x:c r="L76" s="51" t="n">
        <x:v>8</x:v>
      </x:c>
      <x:c r="M76" s="51" t="n">
        <x:v>32</x:v>
      </x:c>
      <x:c r="N76" s="51" t="n">
        <x:v>-1</x:v>
      </x:c>
      <x:c r="O76" s="51" t="n">
        <x:v>-1</x:v>
      </x:c>
      <x:c r="P76" s="55" t="n">
        <x:f>COUNTIFS(H76:K76,"&gt;=0")</x:f>
        <x:v>2</x:v>
      </x:c>
      <x:c r="Q76" s="55" t="n">
        <x:f>P76*2</x:f>
        <x:v>4</x:v>
      </x:c>
      <x:c r="R76" s="55" t="n">
        <x:f>Q76*4</x:f>
        <x:v>16</x:v>
      </x:c>
      <x:c r="S76" s="55" t="n">
        <x:f>IF(G76&gt;2,1,0)</x:f>
        <x:v>0</x:v>
      </x:c>
      <x:c r="T76" s="55" t="n">
        <x:f>IF(MAX(H76:K76)&gt;2,1,0)</x:f>
        <x:v>0</x:v>
      </x:c>
      <x:c r="U76" s="55" t="n">
        <x:f>IF(L76&lt;&gt;Q76,1,0)</x:f>
        <x:v>1</x:v>
      </x:c>
      <x:c r="V76" s="55" t="n">
        <x:f>IF(M76&lt;&gt;R76,1,0)</x:f>
        <x:v>1</x:v>
      </x:c>
      <x:c r="W76" s="50" t="str">
        <x:v>v3/log.txt</x:v>
      </x:c>
      <x:c r="X76" s="53" t="n">
        <x:v>137</x:v>
      </x:c>
    </x:row>
    <x:row r="77" ht="24" customHeight="1">
      <x:c r="A77" s="35" t="str">
        <x:v>V3</x:v>
      </x:c>
      <x:c r="B77" s="48" t="n">
        <x:v>21</x:v>
      </x:c>
      <x:c r="C77" s="49" t="n">
        <x:v>12.04</x:v>
      </x:c>
      <x:c r="D77" s="48" t="n">
        <x:v>5</x:v>
      </x:c>
      <x:c r="E77" s="48" t="n">
        <x:v>1</x:v>
      </x:c>
      <x:c r="F77" s="48" t="n">
        <x:v>2</x:v>
      </x:c>
      <x:c r="G77" s="48" t="n">
        <x:v>0</x:v>
      </x:c>
      <x:c r="H77" s="48" t="n">
        <x:v>0</x:v>
      </x:c>
      <x:c r="I77" s="48" t="n">
        <x:v>1</x:v>
      </x:c>
      <x:c r="J77" s="48" t="n">
        <x:v>1</x:v>
      </x:c>
      <x:c r="K77" s="48" t="n">
        <x:v>-2</x:v>
      </x:c>
      <x:c r="L77" s="48" t="n">
        <x:v>8</x:v>
      </x:c>
      <x:c r="M77" s="48" t="n">
        <x:v>32</x:v>
      </x:c>
      <x:c r="N77" s="48" t="n">
        <x:v>-1</x:v>
      </x:c>
      <x:c r="O77" s="48" t="n">
        <x:v>-1</x:v>
      </x:c>
      <x:c r="P77" s="54" t="n">
        <x:f>COUNTIFS(H77:K77,"&gt;=0")</x:f>
        <x:v>3</x:v>
      </x:c>
      <x:c r="Q77" s="54" t="n">
        <x:f>P77*2</x:f>
        <x:v>6</x:v>
      </x:c>
      <x:c r="R77" s="54" t="n">
        <x:f>Q77*4</x:f>
        <x:v>24</x:v>
      </x:c>
      <x:c r="S77" s="54" t="n">
        <x:f>IF(G77&gt;2,1,0)</x:f>
        <x:v>0</x:v>
      </x:c>
      <x:c r="T77" s="54" t="n">
        <x:f>IF(MAX(H77:K77)&gt;2,1,0)</x:f>
        <x:v>0</x:v>
      </x:c>
      <x:c r="U77" s="54" t="n">
        <x:f>IF(L77&lt;&gt;Q77,1,0)</x:f>
        <x:v>1</x:v>
      </x:c>
      <x:c r="V77" s="54" t="n">
        <x:f>IF(M77&lt;&gt;R77,1,0)</x:f>
        <x:v>1</x:v>
      </x:c>
      <x:c r="W77" s="35" t="str">
        <x:v>v3/log.txt</x:v>
      </x:c>
      <x:c r="X77" s="46" t="n">
        <x:v>144</x:v>
      </x:c>
    </x:row>
    <x:row r="78" ht="24" customHeight="1">
      <x:c r="A78" s="50" t="str">
        <x:v>V3</x:v>
      </x:c>
      <x:c r="B78" s="51" t="n">
        <x:v>22</x:v>
      </x:c>
      <x:c r="C78" s="52" t="n">
        <x:v>12.04</x:v>
      </x:c>
      <x:c r="D78" s="51" t="n">
        <x:v>8</x:v>
      </x:c>
      <x:c r="E78" s="51" t="n">
        <x:v>2</x:v>
      </x:c>
      <x:c r="F78" s="51" t="n">
        <x:v>2</x:v>
      </x:c>
      <x:c r="G78" s="51" t="n">
        <x:v>0</x:v>
      </x:c>
      <x:c r="H78" s="51" t="n">
        <x:v>0</x:v>
      </x:c>
      <x:c r="I78" s="51" t="n">
        <x:v>-2</x:v>
      </x:c>
      <x:c r="J78" s="51" t="n">
        <x:v>1</x:v>
      </x:c>
      <x:c r="K78" s="51" t="n">
        <x:v>-2</x:v>
      </x:c>
      <x:c r="L78" s="51" t="n">
        <x:v>8</x:v>
      </x:c>
      <x:c r="M78" s="51" t="n">
        <x:v>32</x:v>
      </x:c>
      <x:c r="N78" s="51" t="n">
        <x:v>-1</x:v>
      </x:c>
      <x:c r="O78" s="51" t="n">
        <x:v>-1</x:v>
      </x:c>
      <x:c r="P78" s="55" t="n">
        <x:f>COUNTIFS(H78:K78,"&gt;=0")</x:f>
        <x:v>2</x:v>
      </x:c>
      <x:c r="Q78" s="55" t="n">
        <x:f>P78*2</x:f>
        <x:v>4</x:v>
      </x:c>
      <x:c r="R78" s="55" t="n">
        <x:f>Q78*4</x:f>
        <x:v>16</x:v>
      </x:c>
      <x:c r="S78" s="55" t="n">
        <x:f>IF(G78&gt;2,1,0)</x:f>
        <x:v>0</x:v>
      </x:c>
      <x:c r="T78" s="55" t="n">
        <x:f>IF(MAX(H78:K78)&gt;2,1,0)</x:f>
        <x:v>0</x:v>
      </x:c>
      <x:c r="U78" s="55" t="n">
        <x:f>IF(L78&lt;&gt;Q78,1,0)</x:f>
        <x:v>1</x:v>
      </x:c>
      <x:c r="V78" s="55" t="n">
        <x:f>IF(M78&lt;&gt;R78,1,0)</x:f>
        <x:v>1</x:v>
      </x:c>
      <x:c r="W78" s="50" t="str">
        <x:v>v3/log.txt</x:v>
      </x:c>
      <x:c r="X78" s="53" t="n">
        <x:v>151</x:v>
      </x:c>
    </x:row>
    <x:row r="79" ht="24" customHeight="1">
      <x:c r="A79" s="35" t="str">
        <x:v>V3</x:v>
      </x:c>
      <x:c r="B79" s="48" t="n">
        <x:v>23</x:v>
      </x:c>
      <x:c r="C79" s="49" t="n">
        <x:v>12.04</x:v>
      </x:c>
      <x:c r="D79" s="48" t="n">
        <x:v>0</x:v>
      </x:c>
      <x:c r="E79" s="48" t="n">
        <x:v>0</x:v>
      </x:c>
      <x:c r="F79" s="48" t="n">
        <x:v>0</x:v>
      </x:c>
      <x:c r="G79" s="48" t="n">
        <x:v>0</x:v>
      </x:c>
      <x:c r="H79" s="48" t="n">
        <x:v>-2</x:v>
      </x:c>
      <x:c r="I79" s="48" t="n">
        <x:v>0</x:v>
      </x:c>
      <x:c r="J79" s="48" t="n">
        <x:v>-2</x:v>
      </x:c>
      <x:c r="K79" s="48" t="n">
        <x:v>0</x:v>
      </x:c>
      <x:c r="L79" s="48" t="n">
        <x:v>8</x:v>
      </x:c>
      <x:c r="M79" s="48" t="n">
        <x:v>32</x:v>
      </x:c>
      <x:c r="N79" s="48" t="n">
        <x:v>-1</x:v>
      </x:c>
      <x:c r="O79" s="48" t="n">
        <x:v>-1</x:v>
      </x:c>
      <x:c r="P79" s="54" t="n">
        <x:f>COUNTIFS(H79:K79,"&gt;=0")</x:f>
        <x:v>2</x:v>
      </x:c>
      <x:c r="Q79" s="54" t="n">
        <x:f>P79*2</x:f>
        <x:v>4</x:v>
      </x:c>
      <x:c r="R79" s="54" t="n">
        <x:f>Q79*4</x:f>
        <x:v>16</x:v>
      </x:c>
      <x:c r="S79" s="54" t="n">
        <x:f>IF(G79&gt;2,1,0)</x:f>
        <x:v>0</x:v>
      </x:c>
      <x:c r="T79" s="54" t="n">
        <x:f>IF(MAX(H79:K79)&gt;2,1,0)</x:f>
        <x:v>0</x:v>
      </x:c>
      <x:c r="U79" s="54" t="n">
        <x:f>IF(L79&lt;&gt;Q79,1,0)</x:f>
        <x:v>1</x:v>
      </x:c>
      <x:c r="V79" s="54" t="n">
        <x:f>IF(M79&lt;&gt;R79,1,0)</x:f>
        <x:v>1</x:v>
      </x:c>
      <x:c r="W79" s="35" t="str">
        <x:v>v3/log.txt</x:v>
      </x:c>
      <x:c r="X79" s="46" t="n">
        <x:v>158</x:v>
      </x:c>
    </x:row>
    <x:row r="80" ht="24" customHeight="1">
      <x:c r="A80" s="50" t="str">
        <x:v>V3</x:v>
      </x:c>
      <x:c r="B80" s="51" t="n">
        <x:v>24</x:v>
      </x:c>
      <x:c r="C80" s="52" t="n">
        <x:v>12.04</x:v>
      </x:c>
      <x:c r="D80" s="51" t="n">
        <x:v>4</x:v>
      </x:c>
      <x:c r="E80" s="51" t="n">
        <x:v>1</x:v>
      </x:c>
      <x:c r="F80" s="51" t="n">
        <x:v>1</x:v>
      </x:c>
      <x:c r="G80" s="51" t="n">
        <x:v>0</x:v>
      </x:c>
      <x:c r="H80" s="51" t="n">
        <x:v>0</x:v>
      </x:c>
      <x:c r="I80" s="51" t="n">
        <x:v>1</x:v>
      </x:c>
      <x:c r="J80" s="51" t="n">
        <x:v>0</x:v>
      </x:c>
      <x:c r="K80" s="51" t="n">
        <x:v>0</x:v>
      </x:c>
      <x:c r="L80" s="51" t="n">
        <x:v>8</x:v>
      </x:c>
      <x:c r="M80" s="51" t="n">
        <x:v>32</x:v>
      </x:c>
      <x:c r="N80" s="51" t="n">
        <x:v>-1</x:v>
      </x:c>
      <x:c r="O80" s="51" t="n">
        <x:v>-1</x:v>
      </x:c>
      <x:c r="P80" s="55" t="n">
        <x:f>COUNTIFS(H80:K80,"&gt;=0")</x:f>
        <x:v>4</x:v>
      </x:c>
      <x:c r="Q80" s="55" t="n">
        <x:f>P80*2</x:f>
        <x:v>8</x:v>
      </x:c>
      <x:c r="R80" s="55" t="n">
        <x:f>Q80*4</x:f>
        <x:v>32</x:v>
      </x:c>
      <x:c r="S80" s="55" t="n">
        <x:f>IF(G80&gt;2,1,0)</x:f>
        <x:v>0</x:v>
      </x:c>
      <x:c r="T80" s="55" t="n">
        <x:f>IF(MAX(H80:K80)&gt;2,1,0)</x:f>
        <x:v>0</x:v>
      </x:c>
      <x:c r="U80" s="55" t="n">
        <x:f>IF(L80&lt;&gt;Q80,1,0)</x:f>
        <x:v>0</x:v>
      </x:c>
      <x:c r="V80" s="55" t="n">
        <x:f>IF(M80&lt;&gt;R80,1,0)</x:f>
        <x:v>0</x:v>
      </x:c>
      <x:c r="W80" s="50" t="str">
        <x:v>v3/log.txt</x:v>
      </x:c>
      <x:c r="X80" s="53" t="n">
        <x:v>165</x:v>
      </x:c>
    </x:row>
    <x:row r="81" ht="24" customHeight="1">
      <x:c r="A81" s="35" t="str">
        <x:v>V3</x:v>
      </x:c>
      <x:c r="B81" s="48" t="n">
        <x:v>25</x:v>
      </x:c>
      <x:c r="C81" s="49" t="n">
        <x:v>12.04</x:v>
      </x:c>
      <x:c r="D81" s="48" t="n">
        <x:v>3</x:v>
      </x:c>
      <x:c r="E81" s="48" t="n">
        <x:v>1</x:v>
      </x:c>
      <x:c r="F81" s="48" t="n">
        <x:v>0</x:v>
      </x:c>
      <x:c r="G81" s="48" t="n">
        <x:v>0</x:v>
      </x:c>
      <x:c r="H81" s="48" t="n">
        <x:v>0</x:v>
      </x:c>
      <x:c r="I81" s="48" t="n">
        <x:v>1</x:v>
      </x:c>
      <x:c r="J81" s="48" t="n">
        <x:v>-2</x:v>
      </x:c>
      <x:c r="K81" s="48" t="n">
        <x:v>1</x:v>
      </x:c>
      <x:c r="L81" s="48" t="n">
        <x:v>8</x:v>
      </x:c>
      <x:c r="M81" s="48" t="n">
        <x:v>32</x:v>
      </x:c>
      <x:c r="N81" s="48" t="n">
        <x:v>-1</x:v>
      </x:c>
      <x:c r="O81" s="48" t="n">
        <x:v>-1</x:v>
      </x:c>
      <x:c r="P81" s="54" t="n">
        <x:f>COUNTIFS(H81:K81,"&gt;=0")</x:f>
        <x:v>3</x:v>
      </x:c>
      <x:c r="Q81" s="54" t="n">
        <x:f>P81*2</x:f>
        <x:v>6</x:v>
      </x:c>
      <x:c r="R81" s="54" t="n">
        <x:f>Q81*4</x:f>
        <x:v>24</x:v>
      </x:c>
      <x:c r="S81" s="54" t="n">
        <x:f>IF(G81&gt;2,1,0)</x:f>
        <x:v>0</x:v>
      </x:c>
      <x:c r="T81" s="54" t="n">
        <x:f>IF(MAX(H81:K81)&gt;2,1,0)</x:f>
        <x:v>0</x:v>
      </x:c>
      <x:c r="U81" s="54" t="n">
        <x:f>IF(L81&lt;&gt;Q81,1,0)</x:f>
        <x:v>1</x:v>
      </x:c>
      <x:c r="V81" s="54" t="n">
        <x:f>IF(M81&lt;&gt;R81,1,0)</x:f>
        <x:v>1</x:v>
      </x:c>
      <x:c r="W81" s="35" t="str">
        <x:v>v3/log.txt</x:v>
      </x:c>
      <x:c r="X81" s="46" t="n">
        <x:v>172</x:v>
      </x:c>
    </x:row>
    <x:row r="82" ht="24" customHeight="1">
      <x:c r="A82" s="50" t="str">
        <x:v>V3</x:v>
      </x:c>
      <x:c r="B82" s="51" t="n">
        <x:v>26</x:v>
      </x:c>
      <x:c r="C82" s="52" t="n">
        <x:v>12.05</x:v>
      </x:c>
      <x:c r="D82" s="51" t="n">
        <x:v>6</x:v>
      </x:c>
      <x:c r="E82" s="51" t="n">
        <x:v>2</x:v>
      </x:c>
      <x:c r="F82" s="51" t="n">
        <x:v>0</x:v>
      </x:c>
      <x:c r="G82" s="51" t="n">
        <x:v>0</x:v>
      </x:c>
      <x:c r="H82" s="51" t="n">
        <x:v>0</x:v>
      </x:c>
      <x:c r="I82" s="51" t="n">
        <x:v>-2</x:v>
      </x:c>
      <x:c r="J82" s="51" t="n">
        <x:v>-2</x:v>
      </x:c>
      <x:c r="K82" s="51" t="n">
        <x:v>0</x:v>
      </x:c>
      <x:c r="L82" s="51" t="n">
        <x:v>8</x:v>
      </x:c>
      <x:c r="M82" s="51" t="n">
        <x:v>32</x:v>
      </x:c>
      <x:c r="N82" s="51" t="n">
        <x:v>-1</x:v>
      </x:c>
      <x:c r="O82" s="51" t="n">
        <x:v>-1</x:v>
      </x:c>
      <x:c r="P82" s="55" t="n">
        <x:f>COUNTIFS(H82:K82,"&gt;=0")</x:f>
        <x:v>2</x:v>
      </x:c>
      <x:c r="Q82" s="55" t="n">
        <x:f>P82*2</x:f>
        <x:v>4</x:v>
      </x:c>
      <x:c r="R82" s="55" t="n">
        <x:f>Q82*4</x:f>
        <x:v>16</x:v>
      </x:c>
      <x:c r="S82" s="55" t="n">
        <x:f>IF(G82&gt;2,1,0)</x:f>
        <x:v>0</x:v>
      </x:c>
      <x:c r="T82" s="55" t="n">
        <x:f>IF(MAX(H82:K82)&gt;2,1,0)</x:f>
        <x:v>0</x:v>
      </x:c>
      <x:c r="U82" s="55" t="n">
        <x:f>IF(L82&lt;&gt;Q82,1,0)</x:f>
        <x:v>1</x:v>
      </x:c>
      <x:c r="V82" s="55" t="n">
        <x:f>IF(M82&lt;&gt;R82,1,0)</x:f>
        <x:v>1</x:v>
      </x:c>
      <x:c r="W82" s="50" t="str">
        <x:v>v3/log.txt</x:v>
      </x:c>
      <x:c r="X82" s="53" t="n">
        <x:v>179</x:v>
      </x:c>
    </x:row>
    <x:row r="83" ht="24" customHeight="1">
      <x:c r="A83" s="35" t="str">
        <x:v>V3</x:v>
      </x:c>
      <x:c r="B83" s="48" t="n">
        <x:v>27</x:v>
      </x:c>
      <x:c r="C83" s="49" t="n">
        <x:v>12.05</x:v>
      </x:c>
      <x:c r="D83" s="48" t="n">
        <x:v>7</x:v>
      </x:c>
      <x:c r="E83" s="48" t="n">
        <x:v>2</x:v>
      </x:c>
      <x:c r="F83" s="48" t="n">
        <x:v>1</x:v>
      </x:c>
      <x:c r="G83" s="48" t="n">
        <x:v>0</x:v>
      </x:c>
      <x:c r="H83" s="48" t="n">
        <x:v>0</x:v>
      </x:c>
      <x:c r="I83" s="48" t="n">
        <x:v>-2</x:v>
      </x:c>
      <x:c r="J83" s="48" t="n">
        <x:v>1</x:v>
      </x:c>
      <x:c r="K83" s="48" t="n">
        <x:v>0</x:v>
      </x:c>
      <x:c r="L83" s="48" t="n">
        <x:v>8</x:v>
      </x:c>
      <x:c r="M83" s="48" t="n">
        <x:v>32</x:v>
      </x:c>
      <x:c r="N83" s="48" t="n">
        <x:v>-1</x:v>
      </x:c>
      <x:c r="O83" s="48" t="n">
        <x:v>-1</x:v>
      </x:c>
      <x:c r="P83" s="54" t="n">
        <x:f>COUNTIFS(H83:K83,"&gt;=0")</x:f>
        <x:v>3</x:v>
      </x:c>
      <x:c r="Q83" s="54" t="n">
        <x:f>P83*2</x:f>
        <x:v>6</x:v>
      </x:c>
      <x:c r="R83" s="54" t="n">
        <x:f>Q83*4</x:f>
        <x:v>24</x:v>
      </x:c>
      <x:c r="S83" s="54" t="n">
        <x:f>IF(G83&gt;2,1,0)</x:f>
        <x:v>0</x:v>
      </x:c>
      <x:c r="T83" s="54" t="n">
        <x:f>IF(MAX(H83:K83)&gt;2,1,0)</x:f>
        <x:v>0</x:v>
      </x:c>
      <x:c r="U83" s="54" t="n">
        <x:f>IF(L83&lt;&gt;Q83,1,0)</x:f>
        <x:v>1</x:v>
      </x:c>
      <x:c r="V83" s="54" t="n">
        <x:f>IF(M83&lt;&gt;R83,1,0)</x:f>
        <x:v>1</x:v>
      </x:c>
      <x:c r="W83" s="35" t="str">
        <x:v>v3/log.txt</x:v>
      </x:c>
      <x:c r="X83" s="46" t="n">
        <x:v>187</x:v>
      </x:c>
    </x:row>
    <x:row r="84" ht="24" customHeight="1">
      <x:c r="A84" s="50" t="str">
        <x:v>V3</x:v>
      </x:c>
      <x:c r="B84" s="51" t="n">
        <x:v>28</x:v>
      </x:c>
      <x:c r="C84" s="52" t="n">
        <x:v>15.04</x:v>
      </x:c>
      <x:c r="D84" s="51" t="n">
        <x:v>1</x:v>
      </x:c>
      <x:c r="E84" s="51" t="n">
        <x:v>0</x:v>
      </x:c>
      <x:c r="F84" s="51" t="n">
        <x:v>1</x:v>
      </x:c>
      <x:c r="G84" s="51" t="n">
        <x:v>2</x:v>
      </x:c>
      <x:c r="H84" s="51" t="n">
        <x:v>-2</x:v>
      </x:c>
      <x:c r="I84" s="51" t="n">
        <x:v>2</x:v>
      </x:c>
      <x:c r="J84" s="51" t="n">
        <x:v>2</x:v>
      </x:c>
      <x:c r="K84" s="51" t="n">
        <x:v>2</x:v>
      </x:c>
      <x:c r="L84" s="51" t="n">
        <x:v>8</x:v>
      </x:c>
      <x:c r="M84" s="51" t="n">
        <x:v>32</x:v>
      </x:c>
      <x:c r="N84" s="51" t="n">
        <x:v>-1</x:v>
      </x:c>
      <x:c r="O84" s="51" t="n">
        <x:v>-1</x:v>
      </x:c>
      <x:c r="P84" s="55" t="n">
        <x:f>COUNTIFS(H84:K84,"&gt;=0")</x:f>
        <x:v>3</x:v>
      </x:c>
      <x:c r="Q84" s="55" t="n">
        <x:f>P84*2</x:f>
        <x:v>6</x:v>
      </x:c>
      <x:c r="R84" s="55" t="n">
        <x:f>Q84*4</x:f>
        <x:v>24</x:v>
      </x:c>
      <x:c r="S84" s="55" t="n">
        <x:f>IF(G84&gt;2,1,0)</x:f>
        <x:v>0</x:v>
      </x:c>
      <x:c r="T84" s="55" t="n">
        <x:f>IF(MAX(H84:K84)&gt;2,1,0)</x:f>
        <x:v>0</x:v>
      </x:c>
      <x:c r="U84" s="55" t="n">
        <x:f>IF(L84&lt;&gt;Q84,1,0)</x:f>
        <x:v>1</x:v>
      </x:c>
      <x:c r="V84" s="55" t="n">
        <x:f>IF(M84&lt;&gt;R84,1,0)</x:f>
        <x:v>1</x:v>
      </x:c>
      <x:c r="W84" s="50" t="str">
        <x:v>v3/log.txt</x:v>
      </x:c>
      <x:c r="X84" s="53" t="n">
        <x:v>194</x:v>
      </x:c>
    </x:row>
    <x:row r="85" ht="24" customHeight="1">
      <x:c r="A85" s="35" t="str">
        <x:v>V3</x:v>
      </x:c>
      <x:c r="B85" s="48" t="n">
        <x:v>29</x:v>
      </x:c>
      <x:c r="C85" s="49" t="n">
        <x:v>15.04</x:v>
      </x:c>
      <x:c r="D85" s="48" t="n">
        <x:v>5</x:v>
      </x:c>
      <x:c r="E85" s="48" t="n">
        <x:v>1</x:v>
      </x:c>
      <x:c r="F85" s="48" t="n">
        <x:v>2</x:v>
      </x:c>
      <x:c r="G85" s="48" t="n">
        <x:v>2</x:v>
      </x:c>
      <x:c r="H85" s="48" t="n">
        <x:v>2</x:v>
      </x:c>
      <x:c r="I85" s="48" t="n">
        <x:v>2</x:v>
      </x:c>
      <x:c r="J85" s="48" t="n">
        <x:v>2</x:v>
      </x:c>
      <x:c r="K85" s="48" t="n">
        <x:v>-2</x:v>
      </x:c>
      <x:c r="L85" s="48" t="n">
        <x:v>8</x:v>
      </x:c>
      <x:c r="M85" s="48" t="n">
        <x:v>32</x:v>
      </x:c>
      <x:c r="N85" s="48" t="n">
        <x:v>-1</x:v>
      </x:c>
      <x:c r="O85" s="48" t="n">
        <x:v>-1</x:v>
      </x:c>
      <x:c r="P85" s="54" t="n">
        <x:f>COUNTIFS(H85:K85,"&gt;=0")</x:f>
        <x:v>3</x:v>
      </x:c>
      <x:c r="Q85" s="54" t="n">
        <x:f>P85*2</x:f>
        <x:v>6</x:v>
      </x:c>
      <x:c r="R85" s="54" t="n">
        <x:f>Q85*4</x:f>
        <x:v>24</x:v>
      </x:c>
      <x:c r="S85" s="54" t="n">
        <x:f>IF(G85&gt;2,1,0)</x:f>
        <x:v>0</x:v>
      </x:c>
      <x:c r="T85" s="54" t="n">
        <x:f>IF(MAX(H85:K85)&gt;2,1,0)</x:f>
        <x:v>0</x:v>
      </x:c>
      <x:c r="U85" s="54" t="n">
        <x:f>IF(L85&lt;&gt;Q85,1,0)</x:f>
        <x:v>1</x:v>
      </x:c>
      <x:c r="V85" s="54" t="n">
        <x:f>IF(M85&lt;&gt;R85,1,0)</x:f>
        <x:v>1</x:v>
      </x:c>
      <x:c r="W85" s="35" t="str">
        <x:v>v3/log.txt</x:v>
      </x:c>
      <x:c r="X85" s="46" t="n">
        <x:v>201</x:v>
      </x:c>
    </x:row>
    <x:row r="86" ht="24" customHeight="1">
      <x:c r="A86" s="50" t="str">
        <x:v>V3</x:v>
      </x:c>
      <x:c r="B86" s="51" t="n">
        <x:v>30</x:v>
      </x:c>
      <x:c r="C86" s="52" t="n">
        <x:v>15.04</x:v>
      </x:c>
      <x:c r="D86" s="51" t="n">
        <x:v>2</x:v>
      </x:c>
      <x:c r="E86" s="51" t="n">
        <x:v>0</x:v>
      </x:c>
      <x:c r="F86" s="51" t="n">
        <x:v>2</x:v>
      </x:c>
      <x:c r="G86" s="51" t="n">
        <x:v>2</x:v>
      </x:c>
      <x:c r="H86" s="51" t="n">
        <x:v>-2</x:v>
      </x:c>
      <x:c r="I86" s="51" t="n">
        <x:v>2</x:v>
      </x:c>
      <x:c r="J86" s="51" t="n">
        <x:v>2</x:v>
      </x:c>
      <x:c r="K86" s="51" t="n">
        <x:v>-2</x:v>
      </x:c>
      <x:c r="L86" s="51" t="n">
        <x:v>8</x:v>
      </x:c>
      <x:c r="M86" s="51" t="n">
        <x:v>32</x:v>
      </x:c>
      <x:c r="N86" s="51" t="n">
        <x:v>-1</x:v>
      </x:c>
      <x:c r="O86" s="51" t="n">
        <x:v>-1</x:v>
      </x:c>
      <x:c r="P86" s="55" t="n">
        <x:f>COUNTIFS(H86:K86,"&gt;=0")</x:f>
        <x:v>2</x:v>
      </x:c>
      <x:c r="Q86" s="55" t="n">
        <x:f>P86*2</x:f>
        <x:v>4</x:v>
      </x:c>
      <x:c r="R86" s="55" t="n">
        <x:f>Q86*4</x:f>
        <x:v>16</x:v>
      </x:c>
      <x:c r="S86" s="55" t="n">
        <x:f>IF(G86&gt;2,1,0)</x:f>
        <x:v>0</x:v>
      </x:c>
      <x:c r="T86" s="55" t="n">
        <x:f>IF(MAX(H86:K86)&gt;2,1,0)</x:f>
        <x:v>0</x:v>
      </x:c>
      <x:c r="U86" s="55" t="n">
        <x:f>IF(L86&lt;&gt;Q86,1,0)</x:f>
        <x:v>1</x:v>
      </x:c>
      <x:c r="V86" s="55" t="n">
        <x:f>IF(M86&lt;&gt;R86,1,0)</x:f>
        <x:v>1</x:v>
      </x:c>
      <x:c r="W86" s="50" t="str">
        <x:v>v3/log.txt</x:v>
      </x:c>
      <x:c r="X86" s="53" t="n">
        <x:v>209</x:v>
      </x:c>
    </x:row>
    <x:row r="87" ht="24" customHeight="1">
      <x:c r="A87" s="35" t="str">
        <x:v>V3</x:v>
      </x:c>
      <x:c r="B87" s="48" t="n">
        <x:v>31</x:v>
      </x:c>
      <x:c r="C87" s="49" t="n">
        <x:v>15.04</x:v>
      </x:c>
      <x:c r="D87" s="48" t="n">
        <x:v>0</x:v>
      </x:c>
      <x:c r="E87" s="48" t="n">
        <x:v>0</x:v>
      </x:c>
      <x:c r="F87" s="48" t="n">
        <x:v>0</x:v>
      </x:c>
      <x:c r="G87" s="48" t="n">
        <x:v>2</x:v>
      </x:c>
      <x:c r="H87" s="48" t="n">
        <x:v>-2</x:v>
      </x:c>
      <x:c r="I87" s="48" t="n">
        <x:v>2</x:v>
      </x:c>
      <x:c r="J87" s="48" t="n">
        <x:v>-2</x:v>
      </x:c>
      <x:c r="K87" s="48" t="n">
        <x:v>2</x:v>
      </x:c>
      <x:c r="L87" s="48" t="n">
        <x:v>8</x:v>
      </x:c>
      <x:c r="M87" s="48" t="n">
        <x:v>32</x:v>
      </x:c>
      <x:c r="N87" s="48" t="n">
        <x:v>-1</x:v>
      </x:c>
      <x:c r="O87" s="48" t="n">
        <x:v>-1</x:v>
      </x:c>
      <x:c r="P87" s="54" t="n">
        <x:f>COUNTIFS(H87:K87,"&gt;=0")</x:f>
        <x:v>2</x:v>
      </x:c>
      <x:c r="Q87" s="54" t="n">
        <x:f>P87*2</x:f>
        <x:v>4</x:v>
      </x:c>
      <x:c r="R87" s="54" t="n">
        <x:f>Q87*4</x:f>
        <x:v>16</x:v>
      </x:c>
      <x:c r="S87" s="54" t="n">
        <x:f>IF(G87&gt;2,1,0)</x:f>
        <x:v>0</x:v>
      </x:c>
      <x:c r="T87" s="54" t="n">
        <x:f>IF(MAX(H87:K87)&gt;2,1,0)</x:f>
        <x:v>0</x:v>
      </x:c>
      <x:c r="U87" s="54" t="n">
        <x:f>IF(L87&lt;&gt;Q87,1,0)</x:f>
        <x:v>1</x:v>
      </x:c>
      <x:c r="V87" s="54" t="n">
        <x:f>IF(M87&lt;&gt;R87,1,0)</x:f>
        <x:v>1</x:v>
      </x:c>
      <x:c r="W87" s="35" t="str">
        <x:v>v3/log.txt</x:v>
      </x:c>
      <x:c r="X87" s="46" t="n">
        <x:v>216</x:v>
      </x:c>
    </x:row>
    <x:row r="88" ht="24" customHeight="1">
      <x:c r="A88" s="50" t="str">
        <x:v>V3</x:v>
      </x:c>
      <x:c r="B88" s="51" t="n">
        <x:v>32</x:v>
      </x:c>
      <x:c r="C88" s="52" t="n">
        <x:v>15.04</x:v>
      </x:c>
      <x:c r="D88" s="51" t="n">
        <x:v>8</x:v>
      </x:c>
      <x:c r="E88" s="51" t="n">
        <x:v>2</x:v>
      </x:c>
      <x:c r="F88" s="51" t="n">
        <x:v>2</x:v>
      </x:c>
      <x:c r="G88" s="51" t="n">
        <x:v>2</x:v>
      </x:c>
      <x:c r="H88" s="51" t="n">
        <x:v>2</x:v>
      </x:c>
      <x:c r="I88" s="51" t="n">
        <x:v>-2</x:v>
      </x:c>
      <x:c r="J88" s="51" t="n">
        <x:v>2</x:v>
      </x:c>
      <x:c r="K88" s="51" t="n">
        <x:v>-2</x:v>
      </x:c>
      <x:c r="L88" s="51" t="n">
        <x:v>8</x:v>
      </x:c>
      <x:c r="M88" s="51" t="n">
        <x:v>32</x:v>
      </x:c>
      <x:c r="N88" s="51" t="n">
        <x:v>-1</x:v>
      </x:c>
      <x:c r="O88" s="51" t="n">
        <x:v>-1</x:v>
      </x:c>
      <x:c r="P88" s="55" t="n">
        <x:f>COUNTIFS(H88:K88,"&gt;=0")</x:f>
        <x:v>2</x:v>
      </x:c>
      <x:c r="Q88" s="55" t="n">
        <x:f>P88*2</x:f>
        <x:v>4</x:v>
      </x:c>
      <x:c r="R88" s="55" t="n">
        <x:f>Q88*4</x:f>
        <x:v>16</x:v>
      </x:c>
      <x:c r="S88" s="55" t="n">
        <x:f>IF(G88&gt;2,1,0)</x:f>
        <x:v>0</x:v>
      </x:c>
      <x:c r="T88" s="55" t="n">
        <x:f>IF(MAX(H88:K88)&gt;2,1,0)</x:f>
        <x:v>0</x:v>
      </x:c>
      <x:c r="U88" s="55" t="n">
        <x:f>IF(L88&lt;&gt;Q88,1,0)</x:f>
        <x:v>1</x:v>
      </x:c>
      <x:c r="V88" s="55" t="n">
        <x:f>IF(M88&lt;&gt;R88,1,0)</x:f>
        <x:v>1</x:v>
      </x:c>
      <x:c r="W88" s="50" t="str">
        <x:v>v3/log.txt</x:v>
      </x:c>
      <x:c r="X88" s="53" t="n">
        <x:v>223</x:v>
      </x:c>
    </x:row>
    <x:row r="89" ht="24" customHeight="1">
      <x:c r="A89" s="35" t="str">
        <x:v>V3</x:v>
      </x:c>
      <x:c r="B89" s="48" t="n">
        <x:v>33</x:v>
      </x:c>
      <x:c r="C89" s="49" t="n">
        <x:v>15.04</x:v>
      </x:c>
      <x:c r="D89" s="48" t="n">
        <x:v>3</x:v>
      </x:c>
      <x:c r="E89" s="48" t="n">
        <x:v>1</x:v>
      </x:c>
      <x:c r="F89" s="48" t="n">
        <x:v>0</x:v>
      </x:c>
      <x:c r="G89" s="48" t="n">
        <x:v>2</x:v>
      </x:c>
      <x:c r="H89" s="48" t="n">
        <x:v>2</x:v>
      </x:c>
      <x:c r="I89" s="48" t="n">
        <x:v>2</x:v>
      </x:c>
      <x:c r="J89" s="48" t="n">
        <x:v>-2</x:v>
      </x:c>
      <x:c r="K89" s="48" t="n">
        <x:v>2</x:v>
      </x:c>
      <x:c r="L89" s="48" t="n">
        <x:v>8</x:v>
      </x:c>
      <x:c r="M89" s="48" t="n">
        <x:v>32</x:v>
      </x:c>
      <x:c r="N89" s="48" t="n">
        <x:v>-1</x:v>
      </x:c>
      <x:c r="O89" s="48" t="n">
        <x:v>-1</x:v>
      </x:c>
      <x:c r="P89" s="54" t="n">
        <x:f>COUNTIFS(H89:K89,"&gt;=0")</x:f>
        <x:v>3</x:v>
      </x:c>
      <x:c r="Q89" s="54" t="n">
        <x:f>P89*2</x:f>
        <x:v>6</x:v>
      </x:c>
      <x:c r="R89" s="54" t="n">
        <x:f>Q89*4</x:f>
        <x:v>24</x:v>
      </x:c>
      <x:c r="S89" s="54" t="n">
        <x:f>IF(G89&gt;2,1,0)</x:f>
        <x:v>0</x:v>
      </x:c>
      <x:c r="T89" s="54" t="n">
        <x:f>IF(MAX(H89:K89)&gt;2,1,0)</x:f>
        <x:v>0</x:v>
      </x:c>
      <x:c r="U89" s="54" t="n">
        <x:f>IF(L89&lt;&gt;Q89,1,0)</x:f>
        <x:v>1</x:v>
      </x:c>
      <x:c r="V89" s="54" t="n">
        <x:f>IF(M89&lt;&gt;R89,1,0)</x:f>
        <x:v>1</x:v>
      </x:c>
      <x:c r="W89" s="35" t="str">
        <x:v>v3/log.txt</x:v>
      </x:c>
      <x:c r="X89" s="46" t="n">
        <x:v>230</x:v>
      </x:c>
    </x:row>
    <x:row r="90" ht="24" customHeight="1">
      <x:c r="A90" s="50" t="str">
        <x:v>V3</x:v>
      </x:c>
      <x:c r="B90" s="51" t="n">
        <x:v>34</x:v>
      </x:c>
      <x:c r="C90" s="52" t="n">
        <x:v>15.05</x:v>
      </x:c>
      <x:c r="D90" s="51" t="n">
        <x:v>4</x:v>
      </x:c>
      <x:c r="E90" s="51" t="n">
        <x:v>1</x:v>
      </x:c>
      <x:c r="F90" s="51" t="n">
        <x:v>1</x:v>
      </x:c>
      <x:c r="G90" s="51" t="n">
        <x:v>2</x:v>
      </x:c>
      <x:c r="H90" s="51" t="n">
        <x:v>2</x:v>
      </x:c>
      <x:c r="I90" s="51" t="n">
        <x:v>2</x:v>
      </x:c>
      <x:c r="J90" s="51" t="n">
        <x:v>2</x:v>
      </x:c>
      <x:c r="K90" s="51" t="n">
        <x:v>2</x:v>
      </x:c>
      <x:c r="L90" s="51" t="n">
        <x:v>8</x:v>
      </x:c>
      <x:c r="M90" s="51" t="n">
        <x:v>32</x:v>
      </x:c>
      <x:c r="N90" s="51" t="n">
        <x:v>-1</x:v>
      </x:c>
      <x:c r="O90" s="51" t="n">
        <x:v>-1</x:v>
      </x:c>
      <x:c r="P90" s="55" t="n">
        <x:f>COUNTIFS(H90:K90,"&gt;=0")</x:f>
        <x:v>4</x:v>
      </x:c>
      <x:c r="Q90" s="55" t="n">
        <x:f>P90*2</x:f>
        <x:v>8</x:v>
      </x:c>
      <x:c r="R90" s="55" t="n">
        <x:f>Q90*4</x:f>
        <x:v>32</x:v>
      </x:c>
      <x:c r="S90" s="55" t="n">
        <x:f>IF(G90&gt;2,1,0)</x:f>
        <x:v>0</x:v>
      </x:c>
      <x:c r="T90" s="55" t="n">
        <x:f>IF(MAX(H90:K90)&gt;2,1,0)</x:f>
        <x:v>0</x:v>
      </x:c>
      <x:c r="U90" s="55" t="n">
        <x:f>IF(L90&lt;&gt;Q90,1,0)</x:f>
        <x:v>0</x:v>
      </x:c>
      <x:c r="V90" s="55" t="n">
        <x:f>IF(M90&lt;&gt;R90,1,0)</x:f>
        <x:v>0</x:v>
      </x:c>
      <x:c r="W90" s="50" t="str">
        <x:v>v3/log.txt</x:v>
      </x:c>
      <x:c r="X90" s="53" t="n">
        <x:v>237</x:v>
      </x:c>
    </x:row>
    <x:row r="91" ht="24" customHeight="1">
      <x:c r="A91" s="35" t="str">
        <x:v>V3</x:v>
      </x:c>
      <x:c r="B91" s="48" t="n">
        <x:v>35</x:v>
      </x:c>
      <x:c r="C91" s="49" t="n">
        <x:v>15.05</x:v>
      </x:c>
      <x:c r="D91" s="48" t="n">
        <x:v>6</x:v>
      </x:c>
      <x:c r="E91" s="48" t="n">
        <x:v>2</x:v>
      </x:c>
      <x:c r="F91" s="48" t="n">
        <x:v>0</x:v>
      </x:c>
      <x:c r="G91" s="48" t="n">
        <x:v>2</x:v>
      </x:c>
      <x:c r="H91" s="48" t="n">
        <x:v>2</x:v>
      </x:c>
      <x:c r="I91" s="48" t="n">
        <x:v>-2</x:v>
      </x:c>
      <x:c r="J91" s="48" t="n">
        <x:v>-2</x:v>
      </x:c>
      <x:c r="K91" s="48" t="n">
        <x:v>2</x:v>
      </x:c>
      <x:c r="L91" s="48" t="n">
        <x:v>8</x:v>
      </x:c>
      <x:c r="M91" s="48" t="n">
        <x:v>32</x:v>
      </x:c>
      <x:c r="N91" s="48" t="n">
        <x:v>-1</x:v>
      </x:c>
      <x:c r="O91" s="48" t="n">
        <x:v>-1</x:v>
      </x:c>
      <x:c r="P91" s="54" t="n">
        <x:f>COUNTIFS(H91:K91,"&gt;=0")</x:f>
        <x:v>2</x:v>
      </x:c>
      <x:c r="Q91" s="54" t="n">
        <x:f>P91*2</x:f>
        <x:v>4</x:v>
      </x:c>
      <x:c r="R91" s="54" t="n">
        <x:f>Q91*4</x:f>
        <x:v>16</x:v>
      </x:c>
      <x:c r="S91" s="54" t="n">
        <x:f>IF(G91&gt;2,1,0)</x:f>
        <x:v>0</x:v>
      </x:c>
      <x:c r="T91" s="54" t="n">
        <x:f>IF(MAX(H91:K91)&gt;2,1,0)</x:f>
        <x:v>0</x:v>
      </x:c>
      <x:c r="U91" s="54" t="n">
        <x:f>IF(L91&lt;&gt;Q91,1,0)</x:f>
        <x:v>1</x:v>
      </x:c>
      <x:c r="V91" s="54" t="n">
        <x:f>IF(M91&lt;&gt;R91,1,0)</x:f>
        <x:v>1</x:v>
      </x:c>
      <x:c r="W91" s="35" t="str">
        <x:v>v3/log.txt</x:v>
      </x:c>
      <x:c r="X91" s="46" t="n">
        <x:v>244</x:v>
      </x:c>
    </x:row>
    <x:row r="92" ht="24" customHeight="1">
      <x:c r="A92" s="50" t="str">
        <x:v>V3</x:v>
      </x:c>
      <x:c r="B92" s="51" t="n">
        <x:v>36</x:v>
      </x:c>
      <x:c r="C92" s="52" t="n">
        <x:v>15.05</x:v>
      </x:c>
      <x:c r="D92" s="51" t="n">
        <x:v>7</x:v>
      </x:c>
      <x:c r="E92" s="51" t="n">
        <x:v>2</x:v>
      </x:c>
      <x:c r="F92" s="51" t="n">
        <x:v>1</x:v>
      </x:c>
      <x:c r="G92" s="51" t="n">
        <x:v>2</x:v>
      </x:c>
      <x:c r="H92" s="51" t="n">
        <x:v>2</x:v>
      </x:c>
      <x:c r="I92" s="51" t="n">
        <x:v>-2</x:v>
      </x:c>
      <x:c r="J92" s="51" t="n">
        <x:v>2</x:v>
      </x:c>
      <x:c r="K92" s="51" t="n">
        <x:v>2</x:v>
      </x:c>
      <x:c r="L92" s="51" t="n">
        <x:v>8</x:v>
      </x:c>
      <x:c r="M92" s="51" t="n">
        <x:v>32</x:v>
      </x:c>
      <x:c r="N92" s="51" t="n">
        <x:v>-1</x:v>
      </x:c>
      <x:c r="O92" s="51" t="n">
        <x:v>-1</x:v>
      </x:c>
      <x:c r="P92" s="55" t="n">
        <x:f>COUNTIFS(H92:K92,"&gt;=0")</x:f>
        <x:v>3</x:v>
      </x:c>
      <x:c r="Q92" s="55" t="n">
        <x:f>P92*2</x:f>
        <x:v>6</x:v>
      </x:c>
      <x:c r="R92" s="55" t="n">
        <x:f>Q92*4</x:f>
        <x:v>24</x:v>
      </x:c>
      <x:c r="S92" s="55" t="n">
        <x:f>IF(G92&gt;2,1,0)</x:f>
        <x:v>0</x:v>
      </x:c>
      <x:c r="T92" s="55" t="n">
        <x:f>IF(MAX(H92:K92)&gt;2,1,0)</x:f>
        <x:v>0</x:v>
      </x:c>
      <x:c r="U92" s="55" t="n">
        <x:f>IF(L92&lt;&gt;Q92,1,0)</x:f>
        <x:v>1</x:v>
      </x:c>
      <x:c r="V92" s="55" t="n">
        <x:f>IF(M92&lt;&gt;R92,1,0)</x:f>
        <x:v>1</x:v>
      </x:c>
      <x:c r="W92" s="50" t="str">
        <x:v>v3/log.txt</x:v>
      </x:c>
      <x:c r="X92" s="53" t="n">
        <x:v>252</x:v>
      </x:c>
    </x:row>
    <x:row r="93" ht="24" customHeight="1">
      <x:c r="A93" s="35" t="str">
        <x:v>V3</x:v>
      </x:c>
      <x:c r="B93" s="48" t="n">
        <x:v>37</x:v>
      </x:c>
      <x:c r="C93" s="49" t="n">
        <x:v>18.04</x:v>
      </x:c>
      <x:c r="D93" s="48" t="n">
        <x:v>1</x:v>
      </x:c>
      <x:c r="E93" s="48" t="n">
        <x:v>0</x:v>
      </x:c>
      <x:c r="F93" s="48" t="n">
        <x:v>1</x:v>
      </x:c>
      <x:c r="G93" s="48" t="n">
        <x:v>3</x:v>
      </x:c>
      <x:c r="H93" s="48" t="n">
        <x:v>-2</x:v>
      </x:c>
      <x:c r="I93" s="48" t="n">
        <x:v>2</x:v>
      </x:c>
      <x:c r="J93" s="48" t="n">
        <x:v>2</x:v>
      </x:c>
      <x:c r="K93" s="48" t="n">
        <x:v>2</x:v>
      </x:c>
      <x:c r="L93" s="48" t="n">
        <x:v>8</x:v>
      </x:c>
      <x:c r="M93" s="48" t="n">
        <x:v>32</x:v>
      </x:c>
      <x:c r="N93" s="48" t="n">
        <x:v>-1</x:v>
      </x:c>
      <x:c r="O93" s="48" t="n">
        <x:v>-1</x:v>
      </x:c>
      <x:c r="P93" s="54" t="n">
        <x:f>COUNTIFS(H93:K93,"&gt;=0")</x:f>
        <x:v>3</x:v>
      </x:c>
      <x:c r="Q93" s="54" t="n">
        <x:f>P93*2</x:f>
        <x:v>6</x:v>
      </x:c>
      <x:c r="R93" s="54" t="n">
        <x:f>Q93*4</x:f>
        <x:v>24</x:v>
      </x:c>
      <x:c r="S93" s="54" t="n">
        <x:f>IF(G93&gt;2,1,0)</x:f>
        <x:v>1</x:v>
      </x:c>
      <x:c r="T93" s="54" t="n">
        <x:f>IF(MAX(H93:K93)&gt;2,1,0)</x:f>
        <x:v>0</x:v>
      </x:c>
      <x:c r="U93" s="54" t="n">
        <x:f>IF(L93&lt;&gt;Q93,1,0)</x:f>
        <x:v>1</x:v>
      </x:c>
      <x:c r="V93" s="54" t="n">
        <x:f>IF(M93&lt;&gt;R93,1,0)</x:f>
        <x:v>1</x:v>
      </x:c>
      <x:c r="W93" s="35" t="str">
        <x:v>v3/log.txt</x:v>
      </x:c>
      <x:c r="X93" s="46" t="n">
        <x:v>259</x:v>
      </x:c>
    </x:row>
    <x:row r="94" ht="24" customHeight="1">
      <x:c r="A94" s="50" t="str">
        <x:v>V3</x:v>
      </x:c>
      <x:c r="B94" s="51" t="n">
        <x:v>38</x:v>
      </x:c>
      <x:c r="C94" s="52" t="n">
        <x:v>18.04</x:v>
      </x:c>
      <x:c r="D94" s="51" t="n">
        <x:v>5</x:v>
      </x:c>
      <x:c r="E94" s="51" t="n">
        <x:v>1</x:v>
      </x:c>
      <x:c r="F94" s="51" t="n">
        <x:v>2</x:v>
      </x:c>
      <x:c r="G94" s="51" t="n">
        <x:v>2</x:v>
      </x:c>
      <x:c r="H94" s="51" t="n">
        <x:v>2</x:v>
      </x:c>
      <x:c r="I94" s="51" t="n">
        <x:v>2</x:v>
      </x:c>
      <x:c r="J94" s="51" t="n">
        <x:v>2</x:v>
      </x:c>
      <x:c r="K94" s="51" t="n">
        <x:v>-2</x:v>
      </x:c>
      <x:c r="L94" s="51" t="n">
        <x:v>8</x:v>
      </x:c>
      <x:c r="M94" s="51" t="n">
        <x:v>32</x:v>
      </x:c>
      <x:c r="N94" s="51" t="n">
        <x:v>0</x:v>
      </x:c>
      <x:c r="O94" s="51" t="n">
        <x:v>1</x:v>
      </x:c>
      <x:c r="P94" s="55" t="n">
        <x:f>COUNTIFS(H94:K94,"&gt;=0")</x:f>
        <x:v>3</x:v>
      </x:c>
      <x:c r="Q94" s="55" t="n">
        <x:f>P94*2</x:f>
        <x:v>6</x:v>
      </x:c>
      <x:c r="R94" s="55" t="n">
        <x:f>Q94*4</x:f>
        <x:v>24</x:v>
      </x:c>
      <x:c r="S94" s="55" t="n">
        <x:f>IF(G94&gt;2,1,0)</x:f>
        <x:v>0</x:v>
      </x:c>
      <x:c r="T94" s="55" t="n">
        <x:f>IF(MAX(H94:K94)&gt;2,1,0)</x:f>
        <x:v>0</x:v>
      </x:c>
      <x:c r="U94" s="55" t="n">
        <x:f>IF(L94&lt;&gt;Q94,1,0)</x:f>
        <x:v>1</x:v>
      </x:c>
      <x:c r="V94" s="55" t="n">
        <x:f>IF(M94&lt;&gt;R94,1,0)</x:f>
        <x:v>1</x:v>
      </x:c>
      <x:c r="W94" s="50" t="str">
        <x:v>v3/log.txt</x:v>
      </x:c>
      <x:c r="X94" s="53" t="n">
        <x:v>266</x:v>
      </x:c>
    </x:row>
    <x:row r="95" ht="24" customHeight="1">
      <x:c r="A95" s="35" t="str">
        <x:v>V3</x:v>
      </x:c>
      <x:c r="B95" s="48" t="n">
        <x:v>39</x:v>
      </x:c>
      <x:c r="C95" s="49" t="n">
        <x:v>24.04</x:v>
      </x:c>
      <x:c r="D95" s="48" t="n">
        <x:v>1</x:v>
      </x:c>
      <x:c r="E95" s="48" t="n">
        <x:v>0</x:v>
      </x:c>
      <x:c r="F95" s="48" t="n">
        <x:v>1</x:v>
      </x:c>
      <x:c r="G95" s="48" t="n">
        <x:v>1</x:v>
      </x:c>
      <x:c r="H95" s="48" t="n">
        <x:v>-2</x:v>
      </x:c>
      <x:c r="I95" s="48" t="n">
        <x:v>1</x:v>
      </x:c>
      <x:c r="J95" s="48" t="n">
        <x:v>1</x:v>
      </x:c>
      <x:c r="K95" s="48" t="n">
        <x:v>1</x:v>
      </x:c>
      <x:c r="L95" s="48" t="n">
        <x:v>8</x:v>
      </x:c>
      <x:c r="M95" s="48" t="n">
        <x:v>32</x:v>
      </x:c>
      <x:c r="N95" s="48" t="n">
        <x:v>-1</x:v>
      </x:c>
      <x:c r="O95" s="48" t="n">
        <x:v>-1</x:v>
      </x:c>
      <x:c r="P95" s="54" t="n">
        <x:f>COUNTIFS(H95:K95,"&gt;=0")</x:f>
        <x:v>3</x:v>
      </x:c>
      <x:c r="Q95" s="54" t="n">
        <x:f>P95*2</x:f>
        <x:v>6</x:v>
      </x:c>
      <x:c r="R95" s="54" t="n">
        <x:f>Q95*4</x:f>
        <x:v>24</x:v>
      </x:c>
      <x:c r="S95" s="54" t="n">
        <x:f>IF(G95&gt;2,1,0)</x:f>
        <x:v>0</x:v>
      </x:c>
      <x:c r="T95" s="54" t="n">
        <x:f>IF(MAX(H95:K95)&gt;2,1,0)</x:f>
        <x:v>0</x:v>
      </x:c>
      <x:c r="U95" s="54" t="n">
        <x:f>IF(L95&lt;&gt;Q95,1,0)</x:f>
        <x:v>1</x:v>
      </x:c>
      <x:c r="V95" s="54" t="n">
        <x:f>IF(M95&lt;&gt;R95,1,0)</x:f>
        <x:v>1</x:v>
      </x:c>
      <x:c r="W95" s="35" t="str">
        <x:v>v3/log.txt</x:v>
      </x:c>
      <x:c r="X95" s="46" t="n">
        <x:v>273</x:v>
      </x:c>
    </x:row>
    <x:row r="96" ht="24" customHeight="1">
      <x:c r="A96" s="50" t="str">
        <x:v>V3</x:v>
      </x:c>
      <x:c r="B96" s="51" t="n">
        <x:v>40</x:v>
      </x:c>
      <x:c r="C96" s="52" t="n">
        <x:v>24.04</x:v>
      </x:c>
      <x:c r="D96" s="51" t="n">
        <x:v>2</x:v>
      </x:c>
      <x:c r="E96" s="51" t="n">
        <x:v>0</x:v>
      </x:c>
      <x:c r="F96" s="51" t="n">
        <x:v>2</x:v>
      </x:c>
      <x:c r="G96" s="51" t="n">
        <x:v>1</x:v>
      </x:c>
      <x:c r="H96" s="51" t="n">
        <x:v>-2</x:v>
      </x:c>
      <x:c r="I96" s="51" t="n">
        <x:v>1</x:v>
      </x:c>
      <x:c r="J96" s="51" t="n">
        <x:v>1</x:v>
      </x:c>
      <x:c r="K96" s="51" t="n">
        <x:v>-2</x:v>
      </x:c>
      <x:c r="L96" s="51" t="n">
        <x:v>8</x:v>
      </x:c>
      <x:c r="M96" s="51" t="n">
        <x:v>32</x:v>
      </x:c>
      <x:c r="N96" s="51" t="n">
        <x:v>-1</x:v>
      </x:c>
      <x:c r="O96" s="51" t="n">
        <x:v>-1</x:v>
      </x:c>
      <x:c r="P96" s="55" t="n">
        <x:f>COUNTIFS(H96:K96,"&gt;=0")</x:f>
        <x:v>2</x:v>
      </x:c>
      <x:c r="Q96" s="55" t="n">
        <x:f>P96*2</x:f>
        <x:v>4</x:v>
      </x:c>
      <x:c r="R96" s="55" t="n">
        <x:f>Q96*4</x:f>
        <x:v>16</x:v>
      </x:c>
      <x:c r="S96" s="55" t="n">
        <x:f>IF(G96&gt;2,1,0)</x:f>
        <x:v>0</x:v>
      </x:c>
      <x:c r="T96" s="55" t="n">
        <x:f>IF(MAX(H96:K96)&gt;2,1,0)</x:f>
        <x:v>0</x:v>
      </x:c>
      <x:c r="U96" s="55" t="n">
        <x:f>IF(L96&lt;&gt;Q96,1,0)</x:f>
        <x:v>1</x:v>
      </x:c>
      <x:c r="V96" s="55" t="n">
        <x:f>IF(M96&lt;&gt;R96,1,0)</x:f>
        <x:v>1</x:v>
      </x:c>
      <x:c r="W96" s="50" t="str">
        <x:v>v3/log.txt</x:v>
      </x:c>
      <x:c r="X96" s="53" t="n">
        <x:v>280</x:v>
      </x:c>
    </x:row>
    <x:row r="97" ht="24" customHeight="1">
      <x:c r="A97" s="35" t="str">
        <x:v>V3</x:v>
      </x:c>
      <x:c r="B97" s="48" t="n">
        <x:v>41</x:v>
      </x:c>
      <x:c r="C97" s="49" t="n">
        <x:v>24.04</x:v>
      </x:c>
      <x:c r="D97" s="48" t="n">
        <x:v>5</x:v>
      </x:c>
      <x:c r="E97" s="48" t="n">
        <x:v>1</x:v>
      </x:c>
      <x:c r="F97" s="48" t="n">
        <x:v>2</x:v>
      </x:c>
      <x:c r="G97" s="48" t="n">
        <x:v>1</x:v>
      </x:c>
      <x:c r="H97" s="48" t="n">
        <x:v>1</x:v>
      </x:c>
      <x:c r="I97" s="48" t="n">
        <x:v>1</x:v>
      </x:c>
      <x:c r="J97" s="48" t="n">
        <x:v>1</x:v>
      </x:c>
      <x:c r="K97" s="48" t="n">
        <x:v>-2</x:v>
      </x:c>
      <x:c r="L97" s="48" t="n">
        <x:v>8</x:v>
      </x:c>
      <x:c r="M97" s="48" t="n">
        <x:v>32</x:v>
      </x:c>
      <x:c r="N97" s="48" t="n">
        <x:v>-1</x:v>
      </x:c>
      <x:c r="O97" s="48" t="n">
        <x:v>-1</x:v>
      </x:c>
      <x:c r="P97" s="54" t="n">
        <x:f>COUNTIFS(H97:K97,"&gt;=0")</x:f>
        <x:v>3</x:v>
      </x:c>
      <x:c r="Q97" s="54" t="n">
        <x:f>P97*2</x:f>
        <x:v>6</x:v>
      </x:c>
      <x:c r="R97" s="54" t="n">
        <x:f>Q97*4</x:f>
        <x:v>24</x:v>
      </x:c>
      <x:c r="S97" s="54" t="n">
        <x:f>IF(G97&gt;2,1,0)</x:f>
        <x:v>0</x:v>
      </x:c>
      <x:c r="T97" s="54" t="n">
        <x:f>IF(MAX(H97:K97)&gt;2,1,0)</x:f>
        <x:v>0</x:v>
      </x:c>
      <x:c r="U97" s="54" t="n">
        <x:f>IF(L97&lt;&gt;Q97,1,0)</x:f>
        <x:v>1</x:v>
      </x:c>
      <x:c r="V97" s="54" t="n">
        <x:f>IF(M97&lt;&gt;R97,1,0)</x:f>
        <x:v>1</x:v>
      </x:c>
      <x:c r="W97" s="35" t="str">
        <x:v>v3/log.txt</x:v>
      </x:c>
      <x:c r="X97" s="46" t="n">
        <x:v>287</x:v>
      </x:c>
    </x:row>
    <x:row r="98" ht="24" customHeight="1">
      <x:c r="A98" s="50" t="str">
        <x:v>V3</x:v>
      </x:c>
      <x:c r="B98" s="51" t="n">
        <x:v>42</x:v>
      </x:c>
      <x:c r="C98" s="52" t="n">
        <x:v>24.04</x:v>
      </x:c>
      <x:c r="D98" s="51" t="n">
        <x:v>0</x:v>
      </x:c>
      <x:c r="E98" s="51" t="n">
        <x:v>0</x:v>
      </x:c>
      <x:c r="F98" s="51" t="n">
        <x:v>0</x:v>
      </x:c>
      <x:c r="G98" s="51" t="n">
        <x:v>0</x:v>
      </x:c>
      <x:c r="H98" s="51" t="n">
        <x:v>-2</x:v>
      </x:c>
      <x:c r="I98" s="51" t="n">
        <x:v>1</x:v>
      </x:c>
      <x:c r="J98" s="51" t="n">
        <x:v>-2</x:v>
      </x:c>
      <x:c r="K98" s="51" t="n">
        <x:v>1</x:v>
      </x:c>
      <x:c r="L98" s="51" t="n">
        <x:v>8</x:v>
      </x:c>
      <x:c r="M98" s="51" t="n">
        <x:v>32</x:v>
      </x:c>
      <x:c r="N98" s="51" t="n">
        <x:v>-1</x:v>
      </x:c>
      <x:c r="O98" s="51" t="n">
        <x:v>-1</x:v>
      </x:c>
      <x:c r="P98" s="55" t="n">
        <x:f>COUNTIFS(H98:K98,"&gt;=0")</x:f>
        <x:v>2</x:v>
      </x:c>
      <x:c r="Q98" s="55" t="n">
        <x:f>P98*2</x:f>
        <x:v>4</x:v>
      </x:c>
      <x:c r="R98" s="55" t="n">
        <x:f>Q98*4</x:f>
        <x:v>16</x:v>
      </x:c>
      <x:c r="S98" s="55" t="n">
        <x:f>IF(G98&gt;2,1,0)</x:f>
        <x:v>0</x:v>
      </x:c>
      <x:c r="T98" s="55" t="n">
        <x:f>IF(MAX(H98:K98)&gt;2,1,0)</x:f>
        <x:v>0</x:v>
      </x:c>
      <x:c r="U98" s="55" t="n">
        <x:f>IF(L98&lt;&gt;Q98,1,0)</x:f>
        <x:v>1</x:v>
      </x:c>
      <x:c r="V98" s="55" t="n">
        <x:f>IF(M98&lt;&gt;R98,1,0)</x:f>
        <x:v>1</x:v>
      </x:c>
      <x:c r="W98" s="50" t="str">
        <x:v>v3/log.txt</x:v>
      </x:c>
      <x:c r="X98" s="53" t="n">
        <x:v>294</x:v>
      </x:c>
    </x:row>
    <x:row r="99" ht="24" customHeight="1">
      <x:c r="A99" s="35" t="str">
        <x:v>V3</x:v>
      </x:c>
      <x:c r="B99" s="48" t="n">
        <x:v>43</x:v>
      </x:c>
      <x:c r="C99" s="49" t="n">
        <x:v>24.05</x:v>
      </x:c>
      <x:c r="D99" s="48" t="n">
        <x:v>3</x:v>
      </x:c>
      <x:c r="E99" s="48" t="n">
        <x:v>1</x:v>
      </x:c>
      <x:c r="F99" s="48" t="n">
        <x:v>0</x:v>
      </x:c>
      <x:c r="G99" s="48" t="n">
        <x:v>1</x:v>
      </x:c>
      <x:c r="H99" s="48" t="n">
        <x:v>0</x:v>
      </x:c>
      <x:c r="I99" s="48" t="n">
        <x:v>1</x:v>
      </x:c>
      <x:c r="J99" s="48" t="n">
        <x:v>-2</x:v>
      </x:c>
      <x:c r="K99" s="48" t="n">
        <x:v>1</x:v>
      </x:c>
      <x:c r="L99" s="48" t="n">
        <x:v>8</x:v>
      </x:c>
      <x:c r="M99" s="48" t="n">
        <x:v>32</x:v>
      </x:c>
      <x:c r="N99" s="48" t="n">
        <x:v>-1</x:v>
      </x:c>
      <x:c r="O99" s="48" t="n">
        <x:v>-1</x:v>
      </x:c>
      <x:c r="P99" s="54" t="n">
        <x:f>COUNTIFS(H99:K99,"&gt;=0")</x:f>
        <x:v>3</x:v>
      </x:c>
      <x:c r="Q99" s="54" t="n">
        <x:f>P99*2</x:f>
        <x:v>6</x:v>
      </x:c>
      <x:c r="R99" s="54" t="n">
        <x:f>Q99*4</x:f>
        <x:v>24</x:v>
      </x:c>
      <x:c r="S99" s="54" t="n">
        <x:f>IF(G99&gt;2,1,0)</x:f>
        <x:v>0</x:v>
      </x:c>
      <x:c r="T99" s="54" t="n">
        <x:f>IF(MAX(H99:K99)&gt;2,1,0)</x:f>
        <x:v>0</x:v>
      </x:c>
      <x:c r="U99" s="54" t="n">
        <x:f>IF(L99&lt;&gt;Q99,1,0)</x:f>
        <x:v>1</x:v>
      </x:c>
      <x:c r="V99" s="54" t="n">
        <x:f>IF(M99&lt;&gt;R99,1,0)</x:f>
        <x:v>1</x:v>
      </x:c>
      <x:c r="W99" s="35" t="str">
        <x:v>v3/log.txt</x:v>
      </x:c>
      <x:c r="X99" s="46" t="n">
        <x:v>301</x:v>
      </x:c>
    </x:row>
    <x:row r="100" ht="24" customHeight="1">
      <x:c r="A100" s="50" t="str">
        <x:v>V3</x:v>
      </x:c>
      <x:c r="B100" s="51" t="n">
        <x:v>44</x:v>
      </x:c>
      <x:c r="C100" s="52" t="n">
        <x:v>24.05</x:v>
      </x:c>
      <x:c r="D100" s="51" t="n">
        <x:v>8</x:v>
      </x:c>
      <x:c r="E100" s="51" t="n">
        <x:v>2</x:v>
      </x:c>
      <x:c r="F100" s="51" t="n">
        <x:v>2</x:v>
      </x:c>
      <x:c r="G100" s="51" t="n">
        <x:v>1</x:v>
      </x:c>
      <x:c r="H100" s="51" t="n">
        <x:v>1</x:v>
      </x:c>
      <x:c r="I100" s="51" t="n">
        <x:v>-2</x:v>
      </x:c>
      <x:c r="J100" s="51" t="n">
        <x:v>1</x:v>
      </x:c>
      <x:c r="K100" s="51" t="n">
        <x:v>-2</x:v>
      </x:c>
      <x:c r="L100" s="51" t="n">
        <x:v>8</x:v>
      </x:c>
      <x:c r="M100" s="51" t="n">
        <x:v>32</x:v>
      </x:c>
      <x:c r="N100" s="51" t="n">
        <x:v>-1</x:v>
      </x:c>
      <x:c r="O100" s="51" t="n">
        <x:v>-1</x:v>
      </x:c>
      <x:c r="P100" s="55" t="n">
        <x:f>COUNTIFS(H100:K100,"&gt;=0")</x:f>
        <x:v>2</x:v>
      </x:c>
      <x:c r="Q100" s="55" t="n">
        <x:f>P100*2</x:f>
        <x:v>4</x:v>
      </x:c>
      <x:c r="R100" s="55" t="n">
        <x:f>Q100*4</x:f>
        <x:v>16</x:v>
      </x:c>
      <x:c r="S100" s="55" t="n">
        <x:f>IF(G100&gt;2,1,0)</x:f>
        <x:v>0</x:v>
      </x:c>
      <x:c r="T100" s="55" t="n">
        <x:f>IF(MAX(H100:K100)&gt;2,1,0)</x:f>
        <x:v>0</x:v>
      </x:c>
      <x:c r="U100" s="55" t="n">
        <x:f>IF(L100&lt;&gt;Q100,1,0)</x:f>
        <x:v>1</x:v>
      </x:c>
      <x:c r="V100" s="55" t="n">
        <x:f>IF(M100&lt;&gt;R100,1,0)</x:f>
        <x:v>1</x:v>
      </x:c>
      <x:c r="W100" s="50" t="str">
        <x:v>v3/log.txt</x:v>
      </x:c>
      <x:c r="X100" s="53" t="n">
        <x:v>308</x:v>
      </x:c>
    </x:row>
    <x:row r="101" ht="24" customHeight="1">
      <x:c r="A101" s="35" t="str">
        <x:v>V3</x:v>
      </x:c>
      <x:c r="B101" s="48" t="n">
        <x:v>45</x:v>
      </x:c>
      <x:c r="C101" s="49" t="n">
        <x:v>24.05</x:v>
      </x:c>
      <x:c r="D101" s="48" t="n">
        <x:v>4</x:v>
      </x:c>
      <x:c r="E101" s="48" t="n">
        <x:v>1</x:v>
      </x:c>
      <x:c r="F101" s="48" t="n">
        <x:v>1</x:v>
      </x:c>
      <x:c r="G101" s="48" t="n">
        <x:v>1</x:v>
      </x:c>
      <x:c r="H101" s="48" t="n">
        <x:v>1</x:v>
      </x:c>
      <x:c r="I101" s="48" t="n">
        <x:v>1</x:v>
      </x:c>
      <x:c r="J101" s="48" t="n">
        <x:v>1</x:v>
      </x:c>
      <x:c r="K101" s="48" t="n">
        <x:v>1</x:v>
      </x:c>
      <x:c r="L101" s="48" t="n">
        <x:v>8</x:v>
      </x:c>
      <x:c r="M101" s="48" t="n">
        <x:v>32</x:v>
      </x:c>
      <x:c r="N101" s="48" t="n">
        <x:v>-1</x:v>
      </x:c>
      <x:c r="O101" s="48" t="n">
        <x:v>-1</x:v>
      </x:c>
      <x:c r="P101" s="54" t="n">
        <x:f>COUNTIFS(H101:K101,"&gt;=0")</x:f>
        <x:v>4</x:v>
      </x:c>
      <x:c r="Q101" s="54" t="n">
        <x:f>P101*2</x:f>
        <x:v>8</x:v>
      </x:c>
      <x:c r="R101" s="54" t="n">
        <x:f>Q101*4</x:f>
        <x:v>32</x:v>
      </x:c>
      <x:c r="S101" s="54" t="n">
        <x:f>IF(G101&gt;2,1,0)</x:f>
        <x:v>0</x:v>
      </x:c>
      <x:c r="T101" s="54" t="n">
        <x:f>IF(MAX(H101:K101)&gt;2,1,0)</x:f>
        <x:v>0</x:v>
      </x:c>
      <x:c r="U101" s="54" t="n">
        <x:f>IF(L101&lt;&gt;Q101,1,0)</x:f>
        <x:v>0</x:v>
      </x:c>
      <x:c r="V101" s="54" t="n">
        <x:f>IF(M101&lt;&gt;R101,1,0)</x:f>
        <x:v>0</x:v>
      </x:c>
      <x:c r="W101" s="35" t="str">
        <x:v>v3/log.txt</x:v>
      </x:c>
      <x:c r="X101" s="46" t="n">
        <x:v>315</x:v>
      </x:c>
    </x:row>
    <x:row r="102" ht="24" customHeight="1">
      <x:c r="A102" s="50" t="str">
        <x:v>V3</x:v>
      </x:c>
      <x:c r="B102" s="51" t="n">
        <x:v>46</x:v>
      </x:c>
      <x:c r="C102" s="52" t="n">
        <x:v>24.05</x:v>
      </x:c>
      <x:c r="D102" s="51" t="n">
        <x:v>7</x:v>
      </x:c>
      <x:c r="E102" s="51" t="n">
        <x:v>2</x:v>
      </x:c>
      <x:c r="F102" s="51" t="n">
        <x:v>1</x:v>
      </x:c>
      <x:c r="G102" s="51" t="n">
        <x:v>1</x:v>
      </x:c>
      <x:c r="H102" s="51" t="n">
        <x:v>1</x:v>
      </x:c>
      <x:c r="I102" s="51" t="n">
        <x:v>-2</x:v>
      </x:c>
      <x:c r="J102" s="51" t="n">
        <x:v>1</x:v>
      </x:c>
      <x:c r="K102" s="51" t="n">
        <x:v>1</x:v>
      </x:c>
      <x:c r="L102" s="51" t="n">
        <x:v>8</x:v>
      </x:c>
      <x:c r="M102" s="51" t="n">
        <x:v>32</x:v>
      </x:c>
      <x:c r="N102" s="51" t="n">
        <x:v>-1</x:v>
      </x:c>
      <x:c r="O102" s="51" t="n">
        <x:v>-1</x:v>
      </x:c>
      <x:c r="P102" s="55" t="n">
        <x:f>COUNTIFS(H102:K102,"&gt;=0")</x:f>
        <x:v>3</x:v>
      </x:c>
      <x:c r="Q102" s="55" t="n">
        <x:f>P102*2</x:f>
        <x:v>6</x:v>
      </x:c>
      <x:c r="R102" s="55" t="n">
        <x:f>Q102*4</x:f>
        <x:v>24</x:v>
      </x:c>
      <x:c r="S102" s="55" t="n">
        <x:f>IF(G102&gt;2,1,0)</x:f>
        <x:v>0</x:v>
      </x:c>
      <x:c r="T102" s="55" t="n">
        <x:f>IF(MAX(H102:K102)&gt;2,1,0)</x:f>
        <x:v>0</x:v>
      </x:c>
      <x:c r="U102" s="55" t="n">
        <x:f>IF(L102&lt;&gt;Q102,1,0)</x:f>
        <x:v>1</x:v>
      </x:c>
      <x:c r="V102" s="55" t="n">
        <x:f>IF(M102&lt;&gt;R102,1,0)</x:f>
        <x:v>1</x:v>
      </x:c>
      <x:c r="W102" s="50" t="str">
        <x:v>v3/log.txt</x:v>
      </x:c>
      <x:c r="X102" s="53" t="n">
        <x:v>322</x:v>
      </x:c>
    </x:row>
    <x:row r="103" ht="24" customHeight="1">
      <x:c r="A103" s="35" t="str">
        <x:v>V3</x:v>
      </x:c>
      <x:c r="B103" s="48" t="n">
        <x:v>47</x:v>
      </x:c>
      <x:c r="C103" s="49" t="n">
        <x:v>24.05</x:v>
      </x:c>
      <x:c r="D103" s="48" t="n">
        <x:v>6</x:v>
      </x:c>
      <x:c r="E103" s="48" t="n">
        <x:v>2</x:v>
      </x:c>
      <x:c r="F103" s="48" t="n">
        <x:v>0</x:v>
      </x:c>
      <x:c r="G103" s="48" t="n">
        <x:v>1</x:v>
      </x:c>
      <x:c r="H103" s="48" t="n">
        <x:v>1</x:v>
      </x:c>
      <x:c r="I103" s="48" t="n">
        <x:v>-2</x:v>
      </x:c>
      <x:c r="J103" s="48" t="n">
        <x:v>-2</x:v>
      </x:c>
      <x:c r="K103" s="48" t="n">
        <x:v>1</x:v>
      </x:c>
      <x:c r="L103" s="48" t="n">
        <x:v>8</x:v>
      </x:c>
      <x:c r="M103" s="48" t="n">
        <x:v>32</x:v>
      </x:c>
      <x:c r="N103" s="48" t="n">
        <x:v>-1</x:v>
      </x:c>
      <x:c r="O103" s="48" t="n">
        <x:v>-1</x:v>
      </x:c>
      <x:c r="P103" s="54" t="n">
        <x:f>COUNTIFS(H103:K103,"&gt;=0")</x:f>
        <x:v>2</x:v>
      </x:c>
      <x:c r="Q103" s="54" t="n">
        <x:f>P103*2</x:f>
        <x:v>4</x:v>
      </x:c>
      <x:c r="R103" s="54" t="n">
        <x:f>Q103*4</x:f>
        <x:v>16</x:v>
      </x:c>
      <x:c r="S103" s="54" t="n">
        <x:f>IF(G103&gt;2,1,0)</x:f>
        <x:v>0</x:v>
      </x:c>
      <x:c r="T103" s="54" t="n">
        <x:f>IF(MAX(H103:K103)&gt;2,1,0)</x:f>
        <x:v>0</x:v>
      </x:c>
      <x:c r="U103" s="54" t="n">
        <x:f>IF(L103&lt;&gt;Q103,1,0)</x:f>
        <x:v>1</x:v>
      </x:c>
      <x:c r="V103" s="54" t="n">
        <x:f>IF(M103&lt;&gt;R103,1,0)</x:f>
        <x:v>1</x:v>
      </x:c>
      <x:c r="W103" s="35" t="str">
        <x:v>v3/log.txt</x:v>
      </x:c>
      <x:c r="X103" s="46" t="n">
        <x:v>330</x:v>
      </x:c>
    </x:row>
    <x:row r="104" ht="24" customHeight="1">
      <x:c r="A104" s="50" t="str">
        <x:v>V3</x:v>
      </x:c>
      <x:c r="B104" s="51" t="n">
        <x:v>48</x:v>
      </x:c>
      <x:c r="C104" s="52" t="n">
        <x:v>27.04</x:v>
      </x:c>
      <x:c r="D104" s="51" t="n">
        <x:v>1</x:v>
      </x:c>
      <x:c r="E104" s="51" t="n">
        <x:v>0</x:v>
      </x:c>
      <x:c r="F104" s="51" t="n">
        <x:v>1</x:v>
      </x:c>
      <x:c r="G104" s="51" t="n">
        <x:v>1</x:v>
      </x:c>
      <x:c r="H104" s="51" t="n">
        <x:v>-2</x:v>
      </x:c>
      <x:c r="I104" s="51" t="n">
        <x:v>1</x:v>
      </x:c>
      <x:c r="J104" s="51" t="n">
        <x:v>1</x:v>
      </x:c>
      <x:c r="K104" s="51" t="n">
        <x:v>1</x:v>
      </x:c>
      <x:c r="L104" s="51" t="n">
        <x:v>8</x:v>
      </x:c>
      <x:c r="M104" s="51" t="n">
        <x:v>32</x:v>
      </x:c>
      <x:c r="N104" s="51" t="n">
        <x:v>-1</x:v>
      </x:c>
      <x:c r="O104" s="51" t="n">
        <x:v>-1</x:v>
      </x:c>
      <x:c r="P104" s="55" t="n">
        <x:f>COUNTIFS(H104:K104,"&gt;=0")</x:f>
        <x:v>3</x:v>
      </x:c>
      <x:c r="Q104" s="55" t="n">
        <x:f>P104*2</x:f>
        <x:v>6</x:v>
      </x:c>
      <x:c r="R104" s="55" t="n">
        <x:f>Q104*4</x:f>
        <x:v>24</x:v>
      </x:c>
      <x:c r="S104" s="55" t="n">
        <x:f>IF(G104&gt;2,1,0)</x:f>
        <x:v>0</x:v>
      </x:c>
      <x:c r="T104" s="55" t="n">
        <x:f>IF(MAX(H104:K104)&gt;2,1,0)</x:f>
        <x:v>0</x:v>
      </x:c>
      <x:c r="U104" s="55" t="n">
        <x:f>IF(L104&lt;&gt;Q104,1,0)</x:f>
        <x:v>1</x:v>
      </x:c>
      <x:c r="V104" s="55" t="n">
        <x:f>IF(M104&lt;&gt;R104,1,0)</x:f>
        <x:v>1</x:v>
      </x:c>
      <x:c r="W104" s="50" t="str">
        <x:v>v3/log.txt</x:v>
      </x:c>
      <x:c r="X104" s="53" t="n">
        <x:v>337</x:v>
      </x:c>
    </x:row>
    <x:row r="105" ht="24" customHeight="1">
      <x:c r="A105" s="35" t="str">
        <x:v>V3</x:v>
      </x:c>
      <x:c r="B105" s="48" t="n">
        <x:v>49</x:v>
      </x:c>
      <x:c r="C105" s="49" t="n">
        <x:v>27.04</x:v>
      </x:c>
      <x:c r="D105" s="48" t="n">
        <x:v>2</x:v>
      </x:c>
      <x:c r="E105" s="48" t="n">
        <x:v>0</x:v>
      </x:c>
      <x:c r="F105" s="48" t="n">
        <x:v>2</x:v>
      </x:c>
      <x:c r="G105" s="48" t="n">
        <x:v>1</x:v>
      </x:c>
      <x:c r="H105" s="48" t="n">
        <x:v>-2</x:v>
      </x:c>
      <x:c r="I105" s="48" t="n">
        <x:v>1</x:v>
      </x:c>
      <x:c r="J105" s="48" t="n">
        <x:v>1</x:v>
      </x:c>
      <x:c r="K105" s="48" t="n">
        <x:v>-2</x:v>
      </x:c>
      <x:c r="L105" s="48" t="n">
        <x:v>8</x:v>
      </x:c>
      <x:c r="M105" s="48" t="n">
        <x:v>32</x:v>
      </x:c>
      <x:c r="N105" s="48" t="n">
        <x:v>-1</x:v>
      </x:c>
      <x:c r="O105" s="48" t="n">
        <x:v>-1</x:v>
      </x:c>
      <x:c r="P105" s="54" t="n">
        <x:f>COUNTIFS(H105:K105,"&gt;=0")</x:f>
        <x:v>2</x:v>
      </x:c>
      <x:c r="Q105" s="54" t="n">
        <x:f>P105*2</x:f>
        <x:v>4</x:v>
      </x:c>
      <x:c r="R105" s="54" t="n">
        <x:f>Q105*4</x:f>
        <x:v>16</x:v>
      </x:c>
      <x:c r="S105" s="54" t="n">
        <x:f>IF(G105&gt;2,1,0)</x:f>
        <x:v>0</x:v>
      </x:c>
      <x:c r="T105" s="54" t="n">
        <x:f>IF(MAX(H105:K105)&gt;2,1,0)</x:f>
        <x:v>0</x:v>
      </x:c>
      <x:c r="U105" s="54" t="n">
        <x:f>IF(L105&lt;&gt;Q105,1,0)</x:f>
        <x:v>1</x:v>
      </x:c>
      <x:c r="V105" s="54" t="n">
        <x:f>IF(M105&lt;&gt;R105,1,0)</x:f>
        <x:v>1</x:v>
      </x:c>
      <x:c r="W105" s="35" t="str">
        <x:v>v3/log.txt</x:v>
      </x:c>
      <x:c r="X105" s="46" t="n">
        <x:v>344</x:v>
      </x:c>
    </x:row>
    <x:row r="106" ht="24" customHeight="1">
      <x:c r="A106" s="50" t="str">
        <x:v>V3</x:v>
      </x:c>
      <x:c r="B106" s="51" t="n">
        <x:v>50</x:v>
      </x:c>
      <x:c r="C106" s="52" t="n">
        <x:v>27.04</x:v>
      </x:c>
      <x:c r="D106" s="51" t="n">
        <x:v>5</x:v>
      </x:c>
      <x:c r="E106" s="51" t="n">
        <x:v>1</x:v>
      </x:c>
      <x:c r="F106" s="51" t="n">
        <x:v>2</x:v>
      </x:c>
      <x:c r="G106" s="51" t="n">
        <x:v>1</x:v>
      </x:c>
      <x:c r="H106" s="51" t="n">
        <x:v>1</x:v>
      </x:c>
      <x:c r="I106" s="51" t="n">
        <x:v>1</x:v>
      </x:c>
      <x:c r="J106" s="51" t="n">
        <x:v>1</x:v>
      </x:c>
      <x:c r="K106" s="51" t="n">
        <x:v>-2</x:v>
      </x:c>
      <x:c r="L106" s="51" t="n">
        <x:v>8</x:v>
      </x:c>
      <x:c r="M106" s="51" t="n">
        <x:v>32</x:v>
      </x:c>
      <x:c r="N106" s="51" t="n">
        <x:v>-1</x:v>
      </x:c>
      <x:c r="O106" s="51" t="n">
        <x:v>-1</x:v>
      </x:c>
      <x:c r="P106" s="55" t="n">
        <x:f>COUNTIFS(H106:K106,"&gt;=0")</x:f>
        <x:v>3</x:v>
      </x:c>
      <x:c r="Q106" s="55" t="n">
        <x:f>P106*2</x:f>
        <x:v>6</x:v>
      </x:c>
      <x:c r="R106" s="55" t="n">
        <x:f>Q106*4</x:f>
        <x:v>24</x:v>
      </x:c>
      <x:c r="S106" s="55" t="n">
        <x:f>IF(G106&gt;2,1,0)</x:f>
        <x:v>0</x:v>
      </x:c>
      <x:c r="T106" s="55" t="n">
        <x:f>IF(MAX(H106:K106)&gt;2,1,0)</x:f>
        <x:v>0</x:v>
      </x:c>
      <x:c r="U106" s="55" t="n">
        <x:f>IF(L106&lt;&gt;Q106,1,0)</x:f>
        <x:v>1</x:v>
      </x:c>
      <x:c r="V106" s="55" t="n">
        <x:f>IF(M106&lt;&gt;R106,1,0)</x:f>
        <x:v>1</x:v>
      </x:c>
      <x:c r="W106" s="50" t="str">
        <x:v>v3/log.txt</x:v>
      </x:c>
      <x:c r="X106" s="53" t="n">
        <x:v>351</x:v>
      </x:c>
    </x:row>
    <x:row r="107" ht="24" customHeight="1">
      <x:c r="A107" s="35" t="str">
        <x:v>V3</x:v>
      </x:c>
      <x:c r="B107" s="48" t="n">
        <x:v>51</x:v>
      </x:c>
      <x:c r="C107" s="49" t="n">
        <x:v>27.04</x:v>
      </x:c>
      <x:c r="D107" s="48" t="n">
        <x:v>0</x:v>
      </x:c>
      <x:c r="E107" s="48" t="n">
        <x:v>0</x:v>
      </x:c>
      <x:c r="F107" s="48" t="n">
        <x:v>0</x:v>
      </x:c>
      <x:c r="G107" s="48" t="n">
        <x:v>1</x:v>
      </x:c>
      <x:c r="H107" s="48" t="n">
        <x:v>-2</x:v>
      </x:c>
      <x:c r="I107" s="48" t="n">
        <x:v>1</x:v>
      </x:c>
      <x:c r="J107" s="48" t="n">
        <x:v>-2</x:v>
      </x:c>
      <x:c r="K107" s="48" t="n">
        <x:v>1</x:v>
      </x:c>
      <x:c r="L107" s="48" t="n">
        <x:v>8</x:v>
      </x:c>
      <x:c r="M107" s="48" t="n">
        <x:v>32</x:v>
      </x:c>
      <x:c r="N107" s="48" t="n">
        <x:v>-1</x:v>
      </x:c>
      <x:c r="O107" s="48" t="n">
        <x:v>-1</x:v>
      </x:c>
      <x:c r="P107" s="54" t="n">
        <x:f>COUNTIFS(H107:K107,"&gt;=0")</x:f>
        <x:v>2</x:v>
      </x:c>
      <x:c r="Q107" s="54" t="n">
        <x:f>P107*2</x:f>
        <x:v>4</x:v>
      </x:c>
      <x:c r="R107" s="54" t="n">
        <x:f>Q107*4</x:f>
        <x:v>16</x:v>
      </x:c>
      <x:c r="S107" s="54" t="n">
        <x:f>IF(G107&gt;2,1,0)</x:f>
        <x:v>0</x:v>
      </x:c>
      <x:c r="T107" s="54" t="n">
        <x:f>IF(MAX(H107:K107)&gt;2,1,0)</x:f>
        <x:v>0</x:v>
      </x:c>
      <x:c r="U107" s="54" t="n">
        <x:f>IF(L107&lt;&gt;Q107,1,0)</x:f>
        <x:v>1</x:v>
      </x:c>
      <x:c r="V107" s="54" t="n">
        <x:f>IF(M107&lt;&gt;R107,1,0)</x:f>
        <x:v>1</x:v>
      </x:c>
      <x:c r="W107" s="35" t="str">
        <x:v>v3/log.txt</x:v>
      </x:c>
      <x:c r="X107" s="46" t="n">
        <x:v>358</x:v>
      </x:c>
    </x:row>
    <x:row r="108" ht="24" customHeight="1">
      <x:c r="A108" s="50" t="str">
        <x:v>V3</x:v>
      </x:c>
      <x:c r="B108" s="51" t="n">
        <x:v>52</x:v>
      </x:c>
      <x:c r="C108" s="52" t="n">
        <x:v>27.04</x:v>
      </x:c>
      <x:c r="D108" s="51" t="n">
        <x:v>8</x:v>
      </x:c>
      <x:c r="E108" s="51" t="n">
        <x:v>2</x:v>
      </x:c>
      <x:c r="F108" s="51" t="n">
        <x:v>2</x:v>
      </x:c>
      <x:c r="G108" s="51" t="n">
        <x:v>1</x:v>
      </x:c>
      <x:c r="H108" s="51" t="n">
        <x:v>1</x:v>
      </x:c>
      <x:c r="I108" s="51" t="n">
        <x:v>-2</x:v>
      </x:c>
      <x:c r="J108" s="51" t="n">
        <x:v>1</x:v>
      </x:c>
      <x:c r="K108" s="51" t="n">
        <x:v>-2</x:v>
      </x:c>
      <x:c r="L108" s="51" t="n">
        <x:v>8</x:v>
      </x:c>
      <x:c r="M108" s="51" t="n">
        <x:v>32</x:v>
      </x:c>
      <x:c r="N108" s="51" t="n">
        <x:v>-1</x:v>
      </x:c>
      <x:c r="O108" s="51" t="n">
        <x:v>-1</x:v>
      </x:c>
      <x:c r="P108" s="55" t="n">
        <x:f>COUNTIFS(H108:K108,"&gt;=0")</x:f>
        <x:v>2</x:v>
      </x:c>
      <x:c r="Q108" s="55" t="n">
        <x:f>P108*2</x:f>
        <x:v>4</x:v>
      </x:c>
      <x:c r="R108" s="55" t="n">
        <x:f>Q108*4</x:f>
        <x:v>16</x:v>
      </x:c>
      <x:c r="S108" s="55" t="n">
        <x:f>IF(G108&gt;2,1,0)</x:f>
        <x:v>0</x:v>
      </x:c>
      <x:c r="T108" s="55" t="n">
        <x:f>IF(MAX(H108:K108)&gt;2,1,0)</x:f>
        <x:v>0</x:v>
      </x:c>
      <x:c r="U108" s="55" t="n">
        <x:f>IF(L108&lt;&gt;Q108,1,0)</x:f>
        <x:v>1</x:v>
      </x:c>
      <x:c r="V108" s="55" t="n">
        <x:f>IF(M108&lt;&gt;R108,1,0)</x:f>
        <x:v>1</x:v>
      </x:c>
      <x:c r="W108" s="50" t="str">
        <x:v>v3/log.txt</x:v>
      </x:c>
      <x:c r="X108" s="53" t="n">
        <x:v>365</x:v>
      </x:c>
    </x:row>
    <x:row r="109" ht="24" customHeight="1">
      <x:c r="A109" s="35" t="str">
        <x:v>V3</x:v>
      </x:c>
      <x:c r="B109" s="48" t="n">
        <x:v>53</x:v>
      </x:c>
      <x:c r="C109" s="49" t="n">
        <x:v>27.05</x:v>
      </x:c>
      <x:c r="D109" s="48" t="n">
        <x:v>3</x:v>
      </x:c>
      <x:c r="E109" s="48" t="n">
        <x:v>1</x:v>
      </x:c>
      <x:c r="F109" s="48" t="n">
        <x:v>0</x:v>
      </x:c>
      <x:c r="G109" s="48" t="n">
        <x:v>1</x:v>
      </x:c>
      <x:c r="H109" s="48" t="n">
        <x:v>1</x:v>
      </x:c>
      <x:c r="I109" s="48" t="n">
        <x:v>1</x:v>
      </x:c>
      <x:c r="J109" s="48" t="n">
        <x:v>-2</x:v>
      </x:c>
      <x:c r="K109" s="48" t="n">
        <x:v>1</x:v>
      </x:c>
      <x:c r="L109" s="48" t="n">
        <x:v>8</x:v>
      </x:c>
      <x:c r="M109" s="48" t="n">
        <x:v>32</x:v>
      </x:c>
      <x:c r="N109" s="48" t="n">
        <x:v>-1</x:v>
      </x:c>
      <x:c r="O109" s="48" t="n">
        <x:v>-1</x:v>
      </x:c>
      <x:c r="P109" s="54" t="n">
        <x:f>COUNTIFS(H109:K109,"&gt;=0")</x:f>
        <x:v>3</x:v>
      </x:c>
      <x:c r="Q109" s="54" t="n">
        <x:f>P109*2</x:f>
        <x:v>6</x:v>
      </x:c>
      <x:c r="R109" s="54" t="n">
        <x:f>Q109*4</x:f>
        <x:v>24</x:v>
      </x:c>
      <x:c r="S109" s="54" t="n">
        <x:f>IF(G109&gt;2,1,0)</x:f>
        <x:v>0</x:v>
      </x:c>
      <x:c r="T109" s="54" t="n">
        <x:f>IF(MAX(H109:K109)&gt;2,1,0)</x:f>
        <x:v>0</x:v>
      </x:c>
      <x:c r="U109" s="54" t="n">
        <x:f>IF(L109&lt;&gt;Q109,1,0)</x:f>
        <x:v>1</x:v>
      </x:c>
      <x:c r="V109" s="54" t="n">
        <x:f>IF(M109&lt;&gt;R109,1,0)</x:f>
        <x:v>1</x:v>
      </x:c>
      <x:c r="W109" s="35" t="str">
        <x:v>v3/log.txt</x:v>
      </x:c>
      <x:c r="X109" s="46" t="n">
        <x:v>372</x:v>
      </x:c>
    </x:row>
    <x:row r="110" ht="24" customHeight="1">
      <x:c r="A110" s="50" t="str">
        <x:v>V3</x:v>
      </x:c>
      <x:c r="B110" s="51" t="n">
        <x:v>54</x:v>
      </x:c>
      <x:c r="C110" s="52" t="n">
        <x:v>27.05</x:v>
      </x:c>
      <x:c r="D110" s="51" t="n">
        <x:v>4</x:v>
      </x:c>
      <x:c r="E110" s="51" t="n">
        <x:v>1</x:v>
      </x:c>
      <x:c r="F110" s="51" t="n">
        <x:v>1</x:v>
      </x:c>
      <x:c r="G110" s="51" t="n">
        <x:v>1</x:v>
      </x:c>
      <x:c r="H110" s="51" t="n">
        <x:v>1</x:v>
      </x:c>
      <x:c r="I110" s="51" t="n">
        <x:v>1</x:v>
      </x:c>
      <x:c r="J110" s="51" t="n">
        <x:v>1</x:v>
      </x:c>
      <x:c r="K110" s="51" t="n">
        <x:v>1</x:v>
      </x:c>
      <x:c r="L110" s="51" t="n">
        <x:v>8</x:v>
      </x:c>
      <x:c r="M110" s="51" t="n">
        <x:v>32</x:v>
      </x:c>
      <x:c r="N110" s="51" t="n">
        <x:v>-1</x:v>
      </x:c>
      <x:c r="O110" s="51" t="n">
        <x:v>-1</x:v>
      </x:c>
      <x:c r="P110" s="55" t="n">
        <x:f>COUNTIFS(H110:K110,"&gt;=0")</x:f>
        <x:v>4</x:v>
      </x:c>
      <x:c r="Q110" s="55" t="n">
        <x:f>P110*2</x:f>
        <x:v>8</x:v>
      </x:c>
      <x:c r="R110" s="55" t="n">
        <x:f>Q110*4</x:f>
        <x:v>32</x:v>
      </x:c>
      <x:c r="S110" s="55" t="n">
        <x:f>IF(G110&gt;2,1,0)</x:f>
        <x:v>0</x:v>
      </x:c>
      <x:c r="T110" s="55" t="n">
        <x:f>IF(MAX(H110:K110)&gt;2,1,0)</x:f>
        <x:v>0</x:v>
      </x:c>
      <x:c r="U110" s="55" t="n">
        <x:f>IF(L110&lt;&gt;Q110,1,0)</x:f>
        <x:v>0</x:v>
      </x:c>
      <x:c r="V110" s="55" t="n">
        <x:f>IF(M110&lt;&gt;R110,1,0)</x:f>
        <x:v>0</x:v>
      </x:c>
      <x:c r="W110" s="50" t="str">
        <x:v>v3/log.txt</x:v>
      </x:c>
      <x:c r="X110" s="53" t="n">
        <x:v>379</x:v>
      </x:c>
    </x:row>
    <x:row r="111" ht="24" customHeight="1">
      <x:c r="A111" s="35" t="str">
        <x:v>V3</x:v>
      </x:c>
      <x:c r="B111" s="48" t="n">
        <x:v>55</x:v>
      </x:c>
      <x:c r="C111" s="49" t="n">
        <x:v>27.05</x:v>
      </x:c>
      <x:c r="D111" s="48" t="n">
        <x:v>7</x:v>
      </x:c>
      <x:c r="E111" s="48" t="n">
        <x:v>2</x:v>
      </x:c>
      <x:c r="F111" s="48" t="n">
        <x:v>1</x:v>
      </x:c>
      <x:c r="G111" s="48" t="n">
        <x:v>1</x:v>
      </x:c>
      <x:c r="H111" s="48" t="n">
        <x:v>1</x:v>
      </x:c>
      <x:c r="I111" s="48" t="n">
        <x:v>-2</x:v>
      </x:c>
      <x:c r="J111" s="48" t="n">
        <x:v>1</x:v>
      </x:c>
      <x:c r="K111" s="48" t="n">
        <x:v>1</x:v>
      </x:c>
      <x:c r="L111" s="48" t="n">
        <x:v>8</x:v>
      </x:c>
      <x:c r="M111" s="48" t="n">
        <x:v>32</x:v>
      </x:c>
      <x:c r="N111" s="48" t="n">
        <x:v>-1</x:v>
      </x:c>
      <x:c r="O111" s="48" t="n">
        <x:v>-1</x:v>
      </x:c>
      <x:c r="P111" s="54" t="n">
        <x:f>COUNTIFS(H111:K111,"&gt;=0")</x:f>
        <x:v>3</x:v>
      </x:c>
      <x:c r="Q111" s="54" t="n">
        <x:f>P111*2</x:f>
        <x:v>6</x:v>
      </x:c>
      <x:c r="R111" s="54" t="n">
        <x:f>Q111*4</x:f>
        <x:v>24</x:v>
      </x:c>
      <x:c r="S111" s="54" t="n">
        <x:f>IF(G111&gt;2,1,0)</x:f>
        <x:v>0</x:v>
      </x:c>
      <x:c r="T111" s="54" t="n">
        <x:f>IF(MAX(H111:K111)&gt;2,1,0)</x:f>
        <x:v>0</x:v>
      </x:c>
      <x:c r="U111" s="54" t="n">
        <x:f>IF(L111&lt;&gt;Q111,1,0)</x:f>
        <x:v>1</x:v>
      </x:c>
      <x:c r="V111" s="54" t="n">
        <x:f>IF(M111&lt;&gt;R111,1,0)</x:f>
        <x:v>1</x:v>
      </x:c>
      <x:c r="W111" s="35" t="str">
        <x:v>v3/log.txt</x:v>
      </x:c>
      <x:c r="X111" s="46" t="n">
        <x:v>386</x:v>
      </x:c>
    </x:row>
    <x:row r="112" ht="24" customHeight="1">
      <x:c r="A112" s="50" t="str">
        <x:v>V3</x:v>
      </x:c>
      <x:c r="B112" s="51" t="n">
        <x:v>56</x:v>
      </x:c>
      <x:c r="C112" s="52" t="n">
        <x:v>27.05</x:v>
      </x:c>
      <x:c r="D112" s="51" t="n">
        <x:v>6</x:v>
      </x:c>
      <x:c r="E112" s="51" t="n">
        <x:v>2</x:v>
      </x:c>
      <x:c r="F112" s="51" t="n">
        <x:v>0</x:v>
      </x:c>
      <x:c r="G112" s="51" t="n">
        <x:v>1</x:v>
      </x:c>
      <x:c r="H112" s="51" t="n">
        <x:v>1</x:v>
      </x:c>
      <x:c r="I112" s="51" t="n">
        <x:v>-2</x:v>
      </x:c>
      <x:c r="J112" s="51" t="n">
        <x:v>-2</x:v>
      </x:c>
      <x:c r="K112" s="51" t="n">
        <x:v>1</x:v>
      </x:c>
      <x:c r="L112" s="51" t="n">
        <x:v>8</x:v>
      </x:c>
      <x:c r="M112" s="51" t="n">
        <x:v>32</x:v>
      </x:c>
      <x:c r="N112" s="51" t="n">
        <x:v>-1</x:v>
      </x:c>
      <x:c r="O112" s="51" t="n">
        <x:v>-1</x:v>
      </x:c>
      <x:c r="P112" s="55" t="n">
        <x:f>COUNTIFS(H112:K112,"&gt;=0")</x:f>
        <x:v>2</x:v>
      </x:c>
      <x:c r="Q112" s="55" t="n">
        <x:f>P112*2</x:f>
        <x:v>4</x:v>
      </x:c>
      <x:c r="R112" s="55" t="n">
        <x:f>Q112*4</x:f>
        <x:v>16</x:v>
      </x:c>
      <x:c r="S112" s="55" t="n">
        <x:f>IF(G112&gt;2,1,0)</x:f>
        <x:v>0</x:v>
      </x:c>
      <x:c r="T112" s="55" t="n">
        <x:f>IF(MAX(H112:K112)&gt;2,1,0)</x:f>
        <x:v>0</x:v>
      </x:c>
      <x:c r="U112" s="55" t="n">
        <x:f>IF(L112&lt;&gt;Q112,1,0)</x:f>
        <x:v>1</x:v>
      </x:c>
      <x:c r="V112" s="55" t="n">
        <x:f>IF(M112&lt;&gt;R112,1,0)</x:f>
        <x:v>1</x:v>
      </x:c>
      <x:c r="W112" s="50" t="str">
        <x:v>v3/log.txt</x:v>
      </x:c>
      <x:c r="X112" s="53" t="n">
        <x:v>394</x:v>
      </x:c>
    </x:row>
  </x:sheetData>
  <x:conditionalFormatting sqref="S5:V112">
    <x:cfRule type="cellIs" dxfId="2" priority="1" operator="greater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fdcb4ccffd44b18"/>
  </x:tableParts>
</x:worksheet>
</file>
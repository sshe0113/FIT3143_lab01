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"/>
    </mc:Choice>
  </mc:AlternateContent>
  <xr:revisionPtr revIDLastSave="0" documentId="13_ncr:1_{4FD1F3FF-A27F-4FFC-A751-9FB56DBEEBE9}" xr6:coauthVersionLast="47" xr6:coauthVersionMax="47" xr10:uidLastSave="{00000000-0000-0000-0000-000000000000}"/>
  <bookViews>
    <workbookView xWindow="20" yWindow="20" windowWidth="19180" windowHeight="10060" activeTab="1" xr2:uid="{00000000-000D-0000-FFFF-FFFF00000000}"/>
  </bookViews>
  <sheets>
    <sheet name="Testing 1" sheetId="1" r:id="rId1"/>
    <sheet name="Testi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F67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8" i="1"/>
  <c r="F69" i="1"/>
  <c r="F41" i="1"/>
  <c r="F40" i="1"/>
  <c r="B17" i="2"/>
  <c r="E17" i="2" s="1"/>
  <c r="B18" i="2"/>
  <c r="E18" i="2" s="1"/>
  <c r="B19" i="2"/>
  <c r="E19" i="2" s="1"/>
  <c r="B20" i="2"/>
  <c r="E20" i="2" s="1"/>
  <c r="B21" i="2"/>
  <c r="B16" i="2"/>
  <c r="E16" i="2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5" i="1"/>
  <c r="E21" i="2"/>
  <c r="E6" i="2"/>
  <c r="E7" i="2"/>
  <c r="E8" i="2"/>
  <c r="E9" i="2"/>
  <c r="E10" i="2"/>
  <c r="E5" i="2"/>
</calcChain>
</file>

<file path=xl/sharedStrings.xml><?xml version="1.0" encoding="utf-8"?>
<sst xmlns="http://schemas.openxmlformats.org/spreadsheetml/2006/main" count="40" uniqueCount="13">
  <si>
    <t>n</t>
  </si>
  <si>
    <t>Computational Time (sec)</t>
  </si>
  <si>
    <t>Overall Time (sec)</t>
  </si>
  <si>
    <t>Num Threads</t>
  </si>
  <si>
    <t>Testing n with a fixed number of threads (num_threads = 32)</t>
  </si>
  <si>
    <t>Testing n with a fixed number of threads (num_threads = 8)</t>
  </si>
  <si>
    <t>Testing number of threads with a fixed n (n = 10,000,000, cores = 8)</t>
  </si>
  <si>
    <t>Testing number of threads with a fixed n (n = 10,000,000, cores = 32)</t>
  </si>
  <si>
    <t>Serial Code</t>
  </si>
  <si>
    <t>POSIX (Cyclic Partitioning)</t>
  </si>
  <si>
    <t>POSIX (Dynamic Pool Task)</t>
  </si>
  <si>
    <t>Speedup</t>
  </si>
  <si>
    <t>Serial Code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</si>
</sst>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opLeftCell="A37" workbookViewId="0">
      <selection activeCell="A38" sqref="A38"/>
    </sheetView>
  </sheetViews>
  <sheetFormatPr defaultRowHeight="14.5" x14ac:dyDescent="0.35"/>
  <cols>
    <col min="1" max="6" width="22.6328125" customWidth="1"/>
  </cols>
  <sheetData>
    <row r="1" spans="1:6" ht="32" customHeight="1" x14ac:dyDescent="0.35">
      <c r="A1" s="1" t="s">
        <v>5</v>
      </c>
      <c r="B1" s="1"/>
      <c r="C1" s="1"/>
    </row>
    <row r="3" spans="1:6" x14ac:dyDescent="0.35">
      <c r="B3" s="8" t="s">
        <v>8</v>
      </c>
      <c r="C3" s="8"/>
      <c r="D3" s="8" t="s">
        <v>9</v>
      </c>
      <c r="E3" s="8"/>
      <c r="F3" s="8"/>
    </row>
    <row r="4" spans="1:6" x14ac:dyDescent="0.35">
      <c r="A4" s="3" t="s">
        <v>0</v>
      </c>
      <c r="B4" s="3" t="s">
        <v>1</v>
      </c>
      <c r="C4" s="6" t="s">
        <v>2</v>
      </c>
      <c r="D4" s="3" t="s">
        <v>1</v>
      </c>
      <c r="E4" s="6" t="s">
        <v>2</v>
      </c>
      <c r="F4" s="3" t="s">
        <v>11</v>
      </c>
    </row>
    <row r="5" spans="1:6" x14ac:dyDescent="0.35">
      <c r="A5" s="2">
        <v>10000000</v>
      </c>
      <c r="B5">
        <v>4.221819</v>
      </c>
      <c r="C5" s="7"/>
      <c r="D5">
        <v>0.66401900000000003</v>
      </c>
      <c r="E5" s="7"/>
      <c r="F5">
        <f>B5/D5</f>
        <v>6.3579792144501885</v>
      </c>
    </row>
    <row r="6" spans="1:6" x14ac:dyDescent="0.35">
      <c r="A6" s="2">
        <v>11000000</v>
      </c>
      <c r="B6">
        <v>4.7456699999999996</v>
      </c>
      <c r="C6" s="7"/>
      <c r="D6">
        <v>0.76085100000000006</v>
      </c>
      <c r="E6" s="7"/>
      <c r="F6">
        <f t="shared" ref="F6:F35" si="0">B6/D6</f>
        <v>6.2373184762851057</v>
      </c>
    </row>
    <row r="7" spans="1:6" x14ac:dyDescent="0.35">
      <c r="A7" s="2">
        <v>12000000</v>
      </c>
      <c r="B7">
        <v>5.4632949999999996</v>
      </c>
      <c r="C7" s="7"/>
      <c r="D7">
        <v>0.84793499999999999</v>
      </c>
      <c r="E7" s="7"/>
      <c r="F7">
        <f t="shared" si="0"/>
        <v>6.4430587250201956</v>
      </c>
    </row>
    <row r="8" spans="1:6" x14ac:dyDescent="0.35">
      <c r="A8" s="2">
        <v>13000000</v>
      </c>
      <c r="B8">
        <v>6.0686730000000004</v>
      </c>
      <c r="C8" s="7"/>
      <c r="D8">
        <v>0.93635000000000002</v>
      </c>
      <c r="E8" s="7"/>
      <c r="F8">
        <f t="shared" si="0"/>
        <v>6.4812014738078716</v>
      </c>
    </row>
    <row r="9" spans="1:6" x14ac:dyDescent="0.35">
      <c r="A9" s="2">
        <v>14000000</v>
      </c>
      <c r="B9">
        <v>6.7864820000000003</v>
      </c>
      <c r="C9" s="7"/>
      <c r="D9">
        <v>1.0725750000000001</v>
      </c>
      <c r="E9" s="7"/>
      <c r="F9">
        <f t="shared" si="0"/>
        <v>6.3272796774118358</v>
      </c>
    </row>
    <row r="10" spans="1:6" x14ac:dyDescent="0.35">
      <c r="A10" s="2">
        <v>15000000</v>
      </c>
      <c r="B10">
        <v>7.5130920000000003</v>
      </c>
      <c r="C10" s="7"/>
      <c r="D10">
        <v>1.16066</v>
      </c>
      <c r="E10" s="7"/>
      <c r="F10">
        <f t="shared" si="0"/>
        <v>6.4731204659417916</v>
      </c>
    </row>
    <row r="11" spans="1:6" x14ac:dyDescent="0.35">
      <c r="A11" s="2">
        <v>16000000</v>
      </c>
      <c r="B11">
        <v>8.2434170000000009</v>
      </c>
      <c r="C11" s="7"/>
      <c r="D11">
        <v>1.268275</v>
      </c>
      <c r="E11" s="7"/>
      <c r="F11">
        <f t="shared" si="0"/>
        <v>6.4997078709270468</v>
      </c>
    </row>
    <row r="12" spans="1:6" x14ac:dyDescent="0.35">
      <c r="A12" s="2">
        <v>17000000</v>
      </c>
      <c r="B12">
        <v>9.0389809999999997</v>
      </c>
      <c r="C12" s="7"/>
      <c r="D12">
        <v>1.3796630000000001</v>
      </c>
      <c r="E12" s="7"/>
      <c r="F12">
        <f t="shared" si="0"/>
        <v>6.5515861482115554</v>
      </c>
    </row>
    <row r="13" spans="1:6" x14ac:dyDescent="0.35">
      <c r="A13" s="2">
        <v>18000000</v>
      </c>
      <c r="B13">
        <v>11.076497</v>
      </c>
      <c r="C13" s="7"/>
      <c r="D13">
        <v>1.566074</v>
      </c>
      <c r="E13" s="7"/>
      <c r="F13">
        <f t="shared" si="0"/>
        <v>7.0727800857430747</v>
      </c>
    </row>
    <row r="14" spans="1:6" x14ac:dyDescent="0.35">
      <c r="A14" s="2">
        <v>19000000</v>
      </c>
      <c r="B14">
        <v>11.668153999999999</v>
      </c>
      <c r="C14" s="7"/>
      <c r="D14">
        <v>1.6360399999999999</v>
      </c>
      <c r="E14" s="7"/>
      <c r="F14">
        <f t="shared" si="0"/>
        <v>7.1319490965991053</v>
      </c>
    </row>
    <row r="15" spans="1:6" x14ac:dyDescent="0.35">
      <c r="A15" s="2">
        <v>20000000</v>
      </c>
      <c r="B15">
        <v>12.374013</v>
      </c>
      <c r="C15" s="7"/>
      <c r="D15">
        <v>1.75071</v>
      </c>
      <c r="E15" s="7"/>
      <c r="F15">
        <f t="shared" si="0"/>
        <v>7.0679969840807439</v>
      </c>
    </row>
    <row r="16" spans="1:6" x14ac:dyDescent="0.35">
      <c r="A16" s="2">
        <v>21000000</v>
      </c>
      <c r="B16">
        <v>13.410712999999999</v>
      </c>
      <c r="C16" s="7"/>
      <c r="D16">
        <v>1.9254990000000001</v>
      </c>
      <c r="E16" s="7"/>
      <c r="F16">
        <f t="shared" si="0"/>
        <v>6.9647987352888778</v>
      </c>
    </row>
    <row r="17" spans="1:6" x14ac:dyDescent="0.35">
      <c r="A17" s="2">
        <v>22000000</v>
      </c>
      <c r="B17">
        <v>13.503204</v>
      </c>
      <c r="C17" s="7"/>
      <c r="D17">
        <v>2.0128330000000001</v>
      </c>
      <c r="E17" s="7"/>
      <c r="F17">
        <f t="shared" si="0"/>
        <v>6.708556546916709</v>
      </c>
    </row>
    <row r="18" spans="1:6" x14ac:dyDescent="0.35">
      <c r="A18" s="2">
        <v>23000000</v>
      </c>
      <c r="B18">
        <v>15.334875</v>
      </c>
      <c r="C18" s="7"/>
      <c r="D18">
        <v>2.1030869999999999</v>
      </c>
      <c r="E18" s="7"/>
      <c r="F18">
        <f t="shared" si="0"/>
        <v>7.2916027724958603</v>
      </c>
    </row>
    <row r="19" spans="1:6" x14ac:dyDescent="0.35">
      <c r="A19" s="2">
        <v>24000000</v>
      </c>
      <c r="B19">
        <v>15.795399</v>
      </c>
      <c r="C19" s="7"/>
      <c r="D19">
        <v>2.2671899999999998</v>
      </c>
      <c r="E19" s="7"/>
      <c r="F19">
        <f t="shared" si="0"/>
        <v>6.9669498365818487</v>
      </c>
    </row>
    <row r="20" spans="1:6" x14ac:dyDescent="0.35">
      <c r="A20" s="2">
        <v>25000000</v>
      </c>
      <c r="B20">
        <v>17.032720999999999</v>
      </c>
      <c r="C20" s="7"/>
      <c r="D20">
        <v>2.413516</v>
      </c>
      <c r="E20" s="7"/>
      <c r="F20">
        <f t="shared" si="0"/>
        <v>7.0572231549324718</v>
      </c>
    </row>
    <row r="21" spans="1:6" x14ac:dyDescent="0.35">
      <c r="A21" s="2">
        <v>26000000</v>
      </c>
      <c r="B21">
        <v>18.229096999999999</v>
      </c>
      <c r="C21" s="7"/>
      <c r="D21">
        <v>2.524848</v>
      </c>
      <c r="E21" s="7"/>
      <c r="F21">
        <f t="shared" si="0"/>
        <v>7.2198789788533801</v>
      </c>
    </row>
    <row r="22" spans="1:6" x14ac:dyDescent="0.35">
      <c r="A22" s="2">
        <v>27000000</v>
      </c>
      <c r="B22">
        <v>19.070878</v>
      </c>
      <c r="C22" s="7"/>
      <c r="D22">
        <v>2.716825</v>
      </c>
      <c r="E22" s="7"/>
      <c r="F22">
        <f t="shared" si="0"/>
        <v>7.0195459773816866</v>
      </c>
    </row>
    <row r="23" spans="1:6" x14ac:dyDescent="0.35">
      <c r="A23" s="2">
        <v>28000000</v>
      </c>
      <c r="B23">
        <v>20.289345000000001</v>
      </c>
      <c r="C23" s="7"/>
      <c r="D23">
        <v>2.8388429999999998</v>
      </c>
      <c r="E23" s="7"/>
      <c r="F23">
        <f t="shared" si="0"/>
        <v>7.1470472301567938</v>
      </c>
    </row>
    <row r="24" spans="1:6" x14ac:dyDescent="0.35">
      <c r="A24" s="2">
        <v>29000000</v>
      </c>
      <c r="B24">
        <v>20.676687000000001</v>
      </c>
      <c r="C24" s="7"/>
      <c r="D24">
        <v>2.9750390000000002</v>
      </c>
      <c r="E24" s="7"/>
      <c r="F24">
        <f t="shared" si="0"/>
        <v>6.9500557807813612</v>
      </c>
    </row>
    <row r="25" spans="1:6" x14ac:dyDescent="0.35">
      <c r="A25" s="2">
        <v>30000000</v>
      </c>
      <c r="B25">
        <v>21.899799999999999</v>
      </c>
      <c r="C25" s="7"/>
      <c r="D25">
        <v>3.0683389999999999</v>
      </c>
      <c r="E25" s="7"/>
      <c r="F25">
        <f t="shared" si="0"/>
        <v>7.1373469489518593</v>
      </c>
    </row>
    <row r="26" spans="1:6" x14ac:dyDescent="0.35">
      <c r="A26" s="2">
        <v>31000000</v>
      </c>
      <c r="B26">
        <v>22.377856999999999</v>
      </c>
      <c r="C26" s="7"/>
      <c r="D26">
        <v>3.2272479999999999</v>
      </c>
      <c r="E26" s="7"/>
      <c r="F26">
        <f t="shared" si="0"/>
        <v>6.9340369875510026</v>
      </c>
    </row>
    <row r="27" spans="1:6" x14ac:dyDescent="0.35">
      <c r="A27" s="2">
        <v>32000000</v>
      </c>
      <c r="B27">
        <v>24.132621</v>
      </c>
      <c r="C27" s="7"/>
      <c r="D27">
        <v>3.381545</v>
      </c>
      <c r="E27" s="7"/>
      <c r="F27">
        <f t="shared" si="0"/>
        <v>7.1365665694231479</v>
      </c>
    </row>
    <row r="28" spans="1:6" x14ac:dyDescent="0.35">
      <c r="A28" s="2">
        <v>33000000</v>
      </c>
      <c r="B28">
        <v>24.831582999999998</v>
      </c>
      <c r="C28" s="7"/>
      <c r="D28">
        <v>3.4923199999999999</v>
      </c>
      <c r="E28" s="7"/>
      <c r="F28">
        <f t="shared" si="0"/>
        <v>7.1103401177440784</v>
      </c>
    </row>
    <row r="29" spans="1:6" x14ac:dyDescent="0.35">
      <c r="A29" s="2">
        <v>34000000</v>
      </c>
      <c r="B29">
        <v>26.061553</v>
      </c>
      <c r="C29" s="7"/>
      <c r="D29">
        <v>3.6668919999999998</v>
      </c>
      <c r="E29" s="7"/>
      <c r="F29">
        <f t="shared" si="0"/>
        <v>7.1072594993253144</v>
      </c>
    </row>
    <row r="30" spans="1:6" x14ac:dyDescent="0.35">
      <c r="A30" s="2">
        <v>35000000</v>
      </c>
      <c r="B30">
        <v>27.901105000000001</v>
      </c>
      <c r="C30" s="7"/>
      <c r="D30">
        <v>3.7689819999999998</v>
      </c>
      <c r="E30" s="7"/>
      <c r="F30">
        <f t="shared" si="0"/>
        <v>7.4028225658811859</v>
      </c>
    </row>
    <row r="31" spans="1:6" x14ac:dyDescent="0.35">
      <c r="A31" s="2">
        <v>36000000</v>
      </c>
      <c r="B31">
        <v>28.604783999999999</v>
      </c>
      <c r="C31" s="7"/>
      <c r="D31">
        <v>4.518008</v>
      </c>
      <c r="E31" s="7"/>
      <c r="F31">
        <f t="shared" si="0"/>
        <v>6.3312822819260166</v>
      </c>
    </row>
    <row r="32" spans="1:6" x14ac:dyDescent="0.35">
      <c r="A32" s="2">
        <v>37000000</v>
      </c>
      <c r="B32">
        <v>29.860191</v>
      </c>
      <c r="C32" s="7"/>
      <c r="D32">
        <v>5.2665649999999999</v>
      </c>
      <c r="E32" s="7"/>
      <c r="F32">
        <f t="shared" si="0"/>
        <v>5.6697659670012621</v>
      </c>
    </row>
    <row r="33" spans="1:6" x14ac:dyDescent="0.35">
      <c r="A33" s="2">
        <v>38000000</v>
      </c>
      <c r="B33">
        <v>30.595779</v>
      </c>
      <c r="C33" s="7"/>
      <c r="D33">
        <v>4.8746859999999996</v>
      </c>
      <c r="E33" s="7"/>
      <c r="F33">
        <f t="shared" si="0"/>
        <v>6.276461499263748</v>
      </c>
    </row>
    <row r="34" spans="1:6" x14ac:dyDescent="0.35">
      <c r="A34" s="2">
        <v>39000000</v>
      </c>
      <c r="B34">
        <v>30.810445000000001</v>
      </c>
      <c r="C34" s="7"/>
      <c r="D34">
        <v>4.905627</v>
      </c>
      <c r="E34" s="7"/>
      <c r="F34">
        <f t="shared" si="0"/>
        <v>6.2806334440021638</v>
      </c>
    </row>
    <row r="35" spans="1:6" x14ac:dyDescent="0.35">
      <c r="A35" s="2">
        <v>40000000</v>
      </c>
      <c r="B35">
        <v>32.276363000000003</v>
      </c>
      <c r="C35" s="7"/>
      <c r="D35">
        <v>5.2940889999999996</v>
      </c>
      <c r="E35" s="7"/>
      <c r="F35">
        <f t="shared" si="0"/>
        <v>6.0966793342537322</v>
      </c>
    </row>
    <row r="37" spans="1:6" ht="32" customHeight="1" x14ac:dyDescent="0.35">
      <c r="A37" s="1" t="s">
        <v>4</v>
      </c>
      <c r="B37" s="1"/>
      <c r="C37" s="1"/>
    </row>
    <row r="38" spans="1:6" x14ac:dyDescent="0.35">
      <c r="B38" s="8" t="s">
        <v>8</v>
      </c>
      <c r="C38" s="8"/>
      <c r="D38" s="8" t="s">
        <v>9</v>
      </c>
      <c r="E38" s="8"/>
      <c r="F38" s="8"/>
    </row>
    <row r="39" spans="1:6" x14ac:dyDescent="0.35">
      <c r="A39" s="3" t="s">
        <v>0</v>
      </c>
      <c r="B39" s="3" t="s">
        <v>1</v>
      </c>
      <c r="C39" s="6" t="s">
        <v>2</v>
      </c>
      <c r="D39" s="3" t="s">
        <v>1</v>
      </c>
      <c r="E39" s="6" t="s">
        <v>2</v>
      </c>
      <c r="F39" s="3" t="s">
        <v>11</v>
      </c>
    </row>
    <row r="40" spans="1:6" x14ac:dyDescent="0.35">
      <c r="A40" s="2">
        <v>10000000</v>
      </c>
      <c r="B40">
        <v>3.07422</v>
      </c>
      <c r="C40" s="7"/>
      <c r="D40">
        <v>0.19961499999999999</v>
      </c>
      <c r="E40" s="7"/>
      <c r="F40">
        <f>B40/D40</f>
        <v>15.400746436891016</v>
      </c>
    </row>
    <row r="41" spans="1:6" x14ac:dyDescent="0.35">
      <c r="A41" s="2">
        <v>11000000</v>
      </c>
      <c r="B41">
        <v>4.0935550000000003</v>
      </c>
      <c r="D41">
        <v>0.208622</v>
      </c>
      <c r="F41">
        <f>B41/D41</f>
        <v>19.621875928713177</v>
      </c>
    </row>
    <row r="42" spans="1:6" x14ac:dyDescent="0.35">
      <c r="A42" s="2">
        <v>12000000</v>
      </c>
      <c r="B42">
        <v>4.904312</v>
      </c>
      <c r="D42">
        <v>0.230629</v>
      </c>
      <c r="F42">
        <f t="shared" ref="F42:F69" si="1">B42/D42</f>
        <v>21.264940662275777</v>
      </c>
    </row>
    <row r="43" spans="1:6" x14ac:dyDescent="0.35">
      <c r="A43" s="2">
        <v>13000000</v>
      </c>
      <c r="B43">
        <v>5.4954840000000003</v>
      </c>
      <c r="D43">
        <v>0.268316</v>
      </c>
      <c r="F43">
        <f t="shared" si="1"/>
        <v>20.481387617585238</v>
      </c>
    </row>
    <row r="44" spans="1:6" x14ac:dyDescent="0.35">
      <c r="A44" s="2">
        <v>14000000</v>
      </c>
      <c r="B44">
        <v>6.1328820000000004</v>
      </c>
      <c r="D44">
        <v>0.29424</v>
      </c>
      <c r="F44">
        <f t="shared" si="1"/>
        <v>20.843128058727572</v>
      </c>
    </row>
    <row r="45" spans="1:6" x14ac:dyDescent="0.35">
      <c r="A45" s="2">
        <v>15000000</v>
      </c>
      <c r="B45">
        <v>6.7988749999999998</v>
      </c>
      <c r="D45">
        <v>0.319859</v>
      </c>
      <c r="F45">
        <f t="shared" si="1"/>
        <v>21.255850234009358</v>
      </c>
    </row>
    <row r="46" spans="1:6" x14ac:dyDescent="0.35">
      <c r="A46" s="2">
        <v>16000000</v>
      </c>
      <c r="B46">
        <v>7.4492789999999998</v>
      </c>
      <c r="D46">
        <v>0.374307</v>
      </c>
      <c r="F46">
        <f t="shared" si="1"/>
        <v>19.901522012679433</v>
      </c>
    </row>
    <row r="47" spans="1:6" x14ac:dyDescent="0.35">
      <c r="A47" s="2">
        <v>17000000</v>
      </c>
      <c r="B47">
        <v>7.9789300000000001</v>
      </c>
      <c r="D47">
        <v>0.41203099999999998</v>
      </c>
      <c r="F47">
        <f t="shared" si="1"/>
        <v>19.364877885401828</v>
      </c>
    </row>
    <row r="48" spans="1:6" x14ac:dyDescent="0.35">
      <c r="A48" s="2">
        <v>18000000</v>
      </c>
      <c r="B48">
        <v>8.7212800000000001</v>
      </c>
      <c r="D48">
        <v>0.39272200000000002</v>
      </c>
      <c r="F48">
        <f t="shared" si="1"/>
        <v>22.207261116005725</v>
      </c>
    </row>
    <row r="49" spans="1:6" x14ac:dyDescent="0.35">
      <c r="A49" s="2">
        <v>19000000</v>
      </c>
      <c r="B49">
        <v>9.3753119999999992</v>
      </c>
      <c r="D49">
        <v>0.41116200000000003</v>
      </c>
      <c r="F49">
        <f t="shared" si="1"/>
        <v>22.801990456316485</v>
      </c>
    </row>
    <row r="50" spans="1:6" x14ac:dyDescent="0.35">
      <c r="A50" s="2">
        <v>20000000</v>
      </c>
      <c r="B50">
        <v>10.080152999999999</v>
      </c>
      <c r="D50">
        <v>0.46141599999999999</v>
      </c>
      <c r="F50">
        <f t="shared" si="1"/>
        <v>21.846128005964246</v>
      </c>
    </row>
    <row r="51" spans="1:6" x14ac:dyDescent="0.35">
      <c r="A51" s="2">
        <v>21000000</v>
      </c>
      <c r="B51">
        <v>10.752592999999999</v>
      </c>
      <c r="D51">
        <v>0.64751300000000001</v>
      </c>
      <c r="F51">
        <f t="shared" si="1"/>
        <v>16.605987833448904</v>
      </c>
    </row>
    <row r="52" spans="1:6" x14ac:dyDescent="0.35">
      <c r="A52" s="2">
        <v>22000000</v>
      </c>
      <c r="B52">
        <v>11.561036</v>
      </c>
      <c r="D52">
        <v>0.73573200000000005</v>
      </c>
      <c r="F52">
        <f t="shared" si="1"/>
        <v>15.71365116645735</v>
      </c>
    </row>
    <row r="53" spans="1:6" x14ac:dyDescent="0.35">
      <c r="A53" s="2">
        <v>23000000</v>
      </c>
      <c r="B53">
        <v>12.216346</v>
      </c>
      <c r="D53">
        <v>0.65195899999999996</v>
      </c>
      <c r="F53">
        <f t="shared" si="1"/>
        <v>18.737905297725778</v>
      </c>
    </row>
    <row r="54" spans="1:6" x14ac:dyDescent="0.35">
      <c r="A54" s="2">
        <v>24000000</v>
      </c>
      <c r="B54">
        <v>13.036834000000001</v>
      </c>
      <c r="D54">
        <v>0.62831400000000004</v>
      </c>
      <c r="F54">
        <f t="shared" si="1"/>
        <v>20.748915351241575</v>
      </c>
    </row>
    <row r="55" spans="1:6" x14ac:dyDescent="0.35">
      <c r="A55" s="2">
        <v>25000000</v>
      </c>
      <c r="B55">
        <v>13.817802</v>
      </c>
      <c r="D55">
        <v>0.62590500000000004</v>
      </c>
      <c r="F55">
        <f t="shared" si="1"/>
        <v>22.07651640424665</v>
      </c>
    </row>
    <row r="56" spans="1:6" x14ac:dyDescent="0.35">
      <c r="A56" s="2">
        <v>26000000</v>
      </c>
      <c r="B56">
        <v>14.610976000000001</v>
      </c>
      <c r="D56">
        <v>0.64108600000000004</v>
      </c>
      <c r="F56">
        <f t="shared" si="1"/>
        <v>22.790976561646954</v>
      </c>
    </row>
    <row r="57" spans="1:6" x14ac:dyDescent="0.35">
      <c r="A57" s="2">
        <v>27000000</v>
      </c>
      <c r="B57">
        <v>15.201309999999999</v>
      </c>
      <c r="D57">
        <v>0.68704200000000004</v>
      </c>
      <c r="F57">
        <f t="shared" si="1"/>
        <v>22.125736126757896</v>
      </c>
    </row>
    <row r="58" spans="1:6" x14ac:dyDescent="0.35">
      <c r="A58" s="2">
        <v>28000000</v>
      </c>
      <c r="B58">
        <v>16.062538</v>
      </c>
      <c r="D58">
        <v>0.85647399999999996</v>
      </c>
      <c r="F58">
        <f t="shared" si="1"/>
        <v>18.754262242636671</v>
      </c>
    </row>
    <row r="59" spans="1:6" x14ac:dyDescent="0.35">
      <c r="A59" s="2">
        <v>29000000</v>
      </c>
      <c r="B59">
        <v>16.927885</v>
      </c>
      <c r="D59">
        <v>0.87755899999999998</v>
      </c>
      <c r="F59">
        <f t="shared" si="1"/>
        <v>19.289740063061288</v>
      </c>
    </row>
    <row r="60" spans="1:6" x14ac:dyDescent="0.35">
      <c r="A60" s="2">
        <v>30000000</v>
      </c>
      <c r="B60">
        <v>17.821466000000001</v>
      </c>
      <c r="D60">
        <v>0.91805499999999995</v>
      </c>
      <c r="F60">
        <f t="shared" si="1"/>
        <v>19.412198615551358</v>
      </c>
    </row>
    <row r="61" spans="1:6" x14ac:dyDescent="0.35">
      <c r="A61" s="2">
        <v>31000000</v>
      </c>
      <c r="B61">
        <v>18.579981</v>
      </c>
      <c r="D61">
        <v>0.94625599999999999</v>
      </c>
      <c r="F61">
        <f t="shared" si="1"/>
        <v>19.635258323328994</v>
      </c>
    </row>
    <row r="62" spans="1:6" x14ac:dyDescent="0.35">
      <c r="A62" s="2">
        <v>32000000</v>
      </c>
      <c r="B62">
        <v>19.452786</v>
      </c>
      <c r="D62">
        <v>0.89138200000000001</v>
      </c>
      <c r="F62">
        <f t="shared" si="1"/>
        <v>21.823175697961144</v>
      </c>
    </row>
    <row r="63" spans="1:6" x14ac:dyDescent="0.35">
      <c r="A63" s="2">
        <v>33000000</v>
      </c>
      <c r="B63">
        <v>20.361827999999999</v>
      </c>
      <c r="D63">
        <v>1.0145040000000001</v>
      </c>
      <c r="F63">
        <f t="shared" si="1"/>
        <v>20.070722244564831</v>
      </c>
    </row>
    <row r="64" spans="1:6" x14ac:dyDescent="0.35">
      <c r="A64" s="2">
        <v>34000000</v>
      </c>
      <c r="B64">
        <v>21.225096000000001</v>
      </c>
      <c r="D64">
        <v>1.081969</v>
      </c>
      <c r="F64">
        <f t="shared" si="1"/>
        <v>19.617101783877359</v>
      </c>
    </row>
    <row r="65" spans="1:6" x14ac:dyDescent="0.35">
      <c r="A65" s="2">
        <v>35000000</v>
      </c>
      <c r="B65">
        <v>22.179998999999999</v>
      </c>
      <c r="D65">
        <v>1.1624030000000001</v>
      </c>
      <c r="F65">
        <f t="shared" si="1"/>
        <v>19.081161180760887</v>
      </c>
    </row>
    <row r="66" spans="1:6" x14ac:dyDescent="0.35">
      <c r="A66" s="2">
        <v>36000000</v>
      </c>
      <c r="B66">
        <v>23.211036</v>
      </c>
      <c r="D66">
        <v>1.1323209999999999</v>
      </c>
      <c r="F66">
        <f t="shared" si="1"/>
        <v>20.498635987498247</v>
      </c>
    </row>
    <row r="67" spans="1:6" x14ac:dyDescent="0.35">
      <c r="A67" s="2">
        <v>37000000</v>
      </c>
      <c r="B67">
        <v>23.925511</v>
      </c>
      <c r="D67">
        <v>1.200993</v>
      </c>
      <c r="F67">
        <f>B67/D67</f>
        <v>19.921440841037377</v>
      </c>
    </row>
    <row r="68" spans="1:6" x14ac:dyDescent="0.35">
      <c r="A68" s="2">
        <v>38000000</v>
      </c>
      <c r="B68">
        <v>24.83474</v>
      </c>
      <c r="D68">
        <v>1.212243</v>
      </c>
      <c r="F68">
        <f t="shared" si="1"/>
        <v>20.486602108653134</v>
      </c>
    </row>
    <row r="69" spans="1:6" x14ac:dyDescent="0.35">
      <c r="A69" s="2">
        <v>39000000</v>
      </c>
      <c r="B69">
        <v>25.810836999999999</v>
      </c>
      <c r="D69">
        <v>1.2506710000000001</v>
      </c>
      <c r="F69">
        <f t="shared" si="1"/>
        <v>20.637591340968168</v>
      </c>
    </row>
    <row r="70" spans="1:6" x14ac:dyDescent="0.35">
      <c r="A70" s="2">
        <v>40000000</v>
      </c>
      <c r="B70">
        <v>26.719480000000001</v>
      </c>
      <c r="D70">
        <v>1.263007</v>
      </c>
      <c r="F70">
        <f>B70/D70</f>
        <v>21.155448861328562</v>
      </c>
    </row>
  </sheetData>
  <mergeCells count="4">
    <mergeCell ref="B3:C3"/>
    <mergeCell ref="B38:C38"/>
    <mergeCell ref="D3:F3"/>
    <mergeCell ref="D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590C-628F-42C3-BA14-2549B4CA5D44}">
  <dimension ref="A1:G21"/>
  <sheetViews>
    <sheetView tabSelected="1" topLeftCell="A9" workbookViewId="0">
      <selection activeCell="C18" sqref="C18"/>
    </sheetView>
  </sheetViews>
  <sheetFormatPr defaultRowHeight="14.5" x14ac:dyDescent="0.35"/>
  <cols>
    <col min="1" max="5" width="22.6328125" customWidth="1"/>
    <col min="6" max="6" width="22.36328125" bestFit="1" customWidth="1"/>
    <col min="7" max="7" width="22.6328125" customWidth="1"/>
  </cols>
  <sheetData>
    <row r="1" spans="1:7" ht="32" customHeight="1" x14ac:dyDescent="0.35">
      <c r="A1" s="1" t="s">
        <v>6</v>
      </c>
      <c r="B1" s="1"/>
    </row>
    <row r="3" spans="1:7" x14ac:dyDescent="0.35">
      <c r="B3" s="3" t="s">
        <v>12</v>
      </c>
      <c r="C3" s="8" t="s">
        <v>9</v>
      </c>
      <c r="D3" s="8"/>
      <c r="E3" s="8"/>
      <c r="F3" s="9" t="s">
        <v>10</v>
      </c>
      <c r="G3" s="9"/>
    </row>
    <row r="4" spans="1:7" x14ac:dyDescent="0.35">
      <c r="A4" s="3" t="s">
        <v>3</v>
      </c>
      <c r="B4" s="3" t="s">
        <v>1</v>
      </c>
      <c r="C4" s="3" t="s">
        <v>1</v>
      </c>
      <c r="D4" s="3" t="s">
        <v>2</v>
      </c>
      <c r="E4" s="3" t="s">
        <v>11</v>
      </c>
      <c r="F4" s="4" t="s">
        <v>1</v>
      </c>
      <c r="G4" s="4" t="s">
        <v>2</v>
      </c>
    </row>
    <row r="5" spans="1:7" x14ac:dyDescent="0.35">
      <c r="A5">
        <v>1</v>
      </c>
      <c r="B5">
        <v>4.221819</v>
      </c>
      <c r="C5">
        <v>1.9988060000000001</v>
      </c>
      <c r="D5">
        <v>7.4344469999999996</v>
      </c>
      <c r="E5">
        <f>B5/C5</f>
        <v>2.1121704657680636</v>
      </c>
      <c r="F5" s="5">
        <v>2.1946720000000002</v>
      </c>
      <c r="G5" s="5">
        <v>7.352087</v>
      </c>
    </row>
    <row r="6" spans="1:7" x14ac:dyDescent="0.35">
      <c r="A6">
        <v>4</v>
      </c>
      <c r="B6">
        <v>4.221819</v>
      </c>
      <c r="C6">
        <v>1.163114</v>
      </c>
      <c r="D6">
        <v>6.4049259999999997</v>
      </c>
      <c r="E6">
        <f t="shared" ref="E6:E10" si="0">B6/C6</f>
        <v>3.6297551228856331</v>
      </c>
      <c r="F6" s="5">
        <v>1.1574359999999999</v>
      </c>
      <c r="G6" s="5">
        <v>6.3732189999999997</v>
      </c>
    </row>
    <row r="7" spans="1:7" x14ac:dyDescent="0.35">
      <c r="A7">
        <v>8</v>
      </c>
      <c r="B7">
        <v>4.221819</v>
      </c>
      <c r="C7">
        <v>0.66360600000000003</v>
      </c>
      <c r="D7">
        <v>6.0478170000000002</v>
      </c>
      <c r="E7">
        <f t="shared" si="0"/>
        <v>6.3619361488594128</v>
      </c>
      <c r="F7" s="5">
        <v>1.4256819999999999</v>
      </c>
      <c r="G7" s="5">
        <v>6.6873300000000002</v>
      </c>
    </row>
    <row r="8" spans="1:7" x14ac:dyDescent="0.35">
      <c r="A8">
        <v>16</v>
      </c>
      <c r="B8">
        <v>4.221819</v>
      </c>
      <c r="C8">
        <v>0.445718</v>
      </c>
      <c r="D8">
        <v>5.636774</v>
      </c>
      <c r="E8">
        <f t="shared" si="0"/>
        <v>9.4719508747683516</v>
      </c>
      <c r="F8" s="5">
        <v>1.4419729999999999</v>
      </c>
      <c r="G8" s="5">
        <v>6.7687369999999998</v>
      </c>
    </row>
    <row r="9" spans="1:7" x14ac:dyDescent="0.35">
      <c r="A9">
        <v>32</v>
      </c>
      <c r="B9">
        <v>4.221819</v>
      </c>
      <c r="C9">
        <v>0.44677899999999998</v>
      </c>
      <c r="D9">
        <v>5.6503730000000001</v>
      </c>
      <c r="E9">
        <f t="shared" si="0"/>
        <v>9.4494571141436818</v>
      </c>
      <c r="F9" s="5">
        <v>1.43801</v>
      </c>
      <c r="G9" s="5">
        <v>7.2332419999999997</v>
      </c>
    </row>
    <row r="10" spans="1:7" x14ac:dyDescent="0.35">
      <c r="A10">
        <v>64</v>
      </c>
      <c r="B10">
        <v>4.221819</v>
      </c>
      <c r="C10">
        <v>0.44517200000000001</v>
      </c>
      <c r="D10">
        <v>5.6201809999999996</v>
      </c>
      <c r="E10">
        <f t="shared" si="0"/>
        <v>9.4835681489401846</v>
      </c>
      <c r="F10" s="5">
        <v>1.439022</v>
      </c>
      <c r="G10" s="5">
        <v>6.5813569999999997</v>
      </c>
    </row>
    <row r="11" spans="1:7" x14ac:dyDescent="0.35">
      <c r="A11" s="2"/>
      <c r="B11" s="2"/>
    </row>
    <row r="12" spans="1:7" ht="32" customHeight="1" x14ac:dyDescent="0.35">
      <c r="A12" s="1" t="s">
        <v>7</v>
      </c>
      <c r="B12" s="1"/>
    </row>
    <row r="14" spans="1:7" x14ac:dyDescent="0.35">
      <c r="B14" s="3" t="s">
        <v>12</v>
      </c>
      <c r="C14" s="8" t="s">
        <v>9</v>
      </c>
      <c r="D14" s="8"/>
      <c r="E14" s="8"/>
      <c r="F14" s="9" t="s">
        <v>10</v>
      </c>
      <c r="G14" s="9"/>
    </row>
    <row r="15" spans="1:7" x14ac:dyDescent="0.35">
      <c r="A15" s="3" t="s">
        <v>3</v>
      </c>
      <c r="B15" s="3" t="s">
        <v>1</v>
      </c>
      <c r="C15" s="3" t="s">
        <v>1</v>
      </c>
      <c r="D15" s="3" t="s">
        <v>2</v>
      </c>
      <c r="E15" s="3" t="s">
        <v>11</v>
      </c>
      <c r="F15" s="4" t="s">
        <v>1</v>
      </c>
      <c r="G15" s="4" t="s">
        <v>2</v>
      </c>
    </row>
    <row r="16" spans="1:7" x14ac:dyDescent="0.35">
      <c r="A16">
        <v>1</v>
      </c>
      <c r="B16">
        <f>'Testing 1'!$B$40</f>
        <v>3.07422</v>
      </c>
      <c r="C16">
        <v>1.7803150000000001</v>
      </c>
      <c r="D16">
        <v>7.0986909999999996</v>
      </c>
      <c r="E16">
        <f>B16/C16</f>
        <v>1.7267843050246725</v>
      </c>
      <c r="F16" s="5">
        <v>1.540073</v>
      </c>
      <c r="G16" s="5">
        <v>6.6633519999999997</v>
      </c>
    </row>
    <row r="17" spans="1:7" x14ac:dyDescent="0.35">
      <c r="A17">
        <v>4</v>
      </c>
      <c r="B17">
        <f>'Testing 1'!$B$40</f>
        <v>3.07422</v>
      </c>
      <c r="C17">
        <v>0.91214399999999995</v>
      </c>
      <c r="D17">
        <v>5.3931120000000004</v>
      </c>
      <c r="E17">
        <f t="shared" ref="E17:E21" si="1">B17/C17</f>
        <v>3.3703231068778616</v>
      </c>
      <c r="F17" s="5">
        <v>1.2319119999999999</v>
      </c>
      <c r="G17" s="5">
        <v>6.6738819999999999</v>
      </c>
    </row>
    <row r="18" spans="1:7" x14ac:dyDescent="0.35">
      <c r="A18">
        <v>8</v>
      </c>
      <c r="B18">
        <f>'Testing 1'!$B$40</f>
        <v>3.07422</v>
      </c>
      <c r="C18">
        <v>0.41222500000000001</v>
      </c>
      <c r="D18">
        <v>5.5883979999999998</v>
      </c>
      <c r="E18">
        <f t="shared" si="1"/>
        <v>7.4576262963187574</v>
      </c>
      <c r="F18" s="5">
        <v>1.4754229999999999</v>
      </c>
      <c r="G18" s="5">
        <v>6.1407610000000004</v>
      </c>
    </row>
    <row r="19" spans="1:7" x14ac:dyDescent="0.35">
      <c r="A19">
        <v>16</v>
      </c>
      <c r="B19">
        <f>'Testing 1'!$B$40</f>
        <v>3.07422</v>
      </c>
      <c r="C19">
        <v>0.248222</v>
      </c>
      <c r="D19">
        <v>5.4797409999999998</v>
      </c>
      <c r="E19">
        <f t="shared" si="1"/>
        <v>12.384961848667725</v>
      </c>
      <c r="F19" s="5">
        <v>1.988049</v>
      </c>
      <c r="G19" s="5">
        <v>7.3005849999999999</v>
      </c>
    </row>
    <row r="20" spans="1:7" x14ac:dyDescent="0.35">
      <c r="A20">
        <v>32</v>
      </c>
      <c r="B20">
        <f>'Testing 1'!$B$40</f>
        <v>3.07422</v>
      </c>
      <c r="C20">
        <v>0.18618000000000001</v>
      </c>
      <c r="D20">
        <v>4.9896700000000003</v>
      </c>
      <c r="E20">
        <f t="shared" si="1"/>
        <v>16.512085078955849</v>
      </c>
      <c r="F20" s="5">
        <v>1.7018230000000001</v>
      </c>
      <c r="G20" s="5">
        <v>7.0630740000000003</v>
      </c>
    </row>
    <row r="21" spans="1:7" x14ac:dyDescent="0.35">
      <c r="A21">
        <v>64</v>
      </c>
      <c r="B21">
        <f>'Testing 1'!$B$40</f>
        <v>3.07422</v>
      </c>
      <c r="C21">
        <v>0.175349</v>
      </c>
      <c r="D21">
        <v>4.7182089999999999</v>
      </c>
      <c r="E21">
        <f t="shared" si="1"/>
        <v>17.532007596279421</v>
      </c>
      <c r="F21" s="5">
        <v>1.561496</v>
      </c>
      <c r="G21" s="5">
        <v>7.0868510000000002</v>
      </c>
    </row>
  </sheetData>
  <mergeCells count="4">
    <mergeCell ref="F3:G3"/>
    <mergeCell ref="F14:G14"/>
    <mergeCell ref="C3:E3"/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1</vt:lpstr>
      <vt:lpstr>Testing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2026-08-14T17:12:59Z</dcterms:modified>
</cp:coreProperties>
</file>
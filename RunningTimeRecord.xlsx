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"/>
    </mc:Choice>
  </mc:AlternateContent>
  <xr:revisionPtr revIDLastSave="0" documentId="13_ncr:1_{3EBB60A7-49C7-4CBF-98A7-5BD253E40718}" xr6:coauthVersionLast="47" xr6:coauthVersionMax="47" xr10:uidLastSave="{00000000-0000-0000-0000-000000000000}"/>
  <bookViews>
    <workbookView xWindow="20" yWindow="20" windowWidth="19180" windowHeight="10060" activeTab="1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E18" i="2"/>
  <c r="E19" i="2"/>
  <c r="E20" i="2"/>
  <c r="E21" i="2"/>
  <c r="E16" i="2"/>
  <c r="F19" i="1"/>
  <c r="F20" i="1"/>
  <c r="F21" i="1"/>
  <c r="F22" i="1"/>
  <c r="F23" i="1"/>
  <c r="F24" i="1"/>
  <c r="F25" i="1"/>
  <c r="F26" i="1"/>
  <c r="F18" i="1"/>
  <c r="E6" i="2"/>
  <c r="E7" i="2"/>
  <c r="E8" i="2"/>
  <c r="E9" i="2"/>
  <c r="E10" i="2"/>
  <c r="E5" i="2"/>
  <c r="F6" i="1"/>
  <c r="F7" i="1"/>
  <c r="F8" i="1"/>
  <c r="F9" i="1"/>
  <c r="F10" i="1"/>
  <c r="F11" i="1"/>
  <c r="F12" i="1"/>
  <c r="F13" i="1"/>
  <c r="F5" i="1"/>
  <c r="C13" i="1"/>
  <c r="C12" i="1"/>
  <c r="C11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<sst xmlns="http://schemas.openxmlformats.org/spreadsheetml/2006/main" count="46" uniqueCount="13">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</sst>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opLeftCell="A2" workbookViewId="0">
      <selection activeCell="B18" sqref="B18"/>
    </sheetView>
  </sheetViews>
  <sheetFormatPr defaultRowHeight="14.5" x14ac:dyDescent="0.35"/>
  <cols>
    <col min="1" max="8" width="22.6328125" customWidth="1"/>
  </cols>
  <sheetData>
    <row r="1" spans="1:8" ht="32" customHeight="1" x14ac:dyDescent="0.35">
      <c r="A1" s="1" t="s">
        <v>5</v>
      </c>
      <c r="B1" s="1"/>
      <c r="C1" s="1"/>
    </row>
    <row r="3" spans="1:8" x14ac:dyDescent="0.35">
      <c r="B3" s="7" t="s">
        <v>8</v>
      </c>
      <c r="C3" s="7"/>
      <c r="D3" s="7" t="s">
        <v>9</v>
      </c>
      <c r="E3" s="7"/>
      <c r="F3" s="7"/>
      <c r="G3" s="6" t="s">
        <v>10</v>
      </c>
      <c r="H3" s="6"/>
    </row>
    <row r="4" spans="1:8" x14ac:dyDescent="0.35">
      <c r="A4" s="3" t="s">
        <v>0</v>
      </c>
      <c r="B4" s="3" t="s">
        <v>1</v>
      </c>
      <c r="C4" s="3" t="s">
        <v>2</v>
      </c>
      <c r="D4" s="3" t="s">
        <v>1</v>
      </c>
      <c r="E4" s="3" t="s">
        <v>2</v>
      </c>
      <c r="F4" s="3" t="s">
        <v>11</v>
      </c>
      <c r="G4" s="4" t="s">
        <v>1</v>
      </c>
      <c r="H4" s="4" t="s">
        <v>2</v>
      </c>
    </row>
    <row r="5" spans="1:8" x14ac:dyDescent="0.35">
      <c r="A5" s="2">
        <v>10000000</v>
      </c>
      <c r="B5">
        <v>4.1623950000000001</v>
      </c>
      <c r="C5">
        <f>5.247637+B5</f>
        <v>9.4100320000000011</v>
      </c>
      <c r="D5">
        <v>0.68708499999999995</v>
      </c>
      <c r="E5">
        <v>4.681508</v>
      </c>
      <c r="F5">
        <f>B5/D5</f>
        <v>6.058049586295728</v>
      </c>
      <c r="G5" s="5">
        <v>1.446939</v>
      </c>
      <c r="H5" s="5">
        <v>6.7915789999999996</v>
      </c>
    </row>
    <row r="6" spans="1:8" x14ac:dyDescent="0.35">
      <c r="A6" s="2">
        <v>15000000</v>
      </c>
      <c r="B6">
        <v>7.627834</v>
      </c>
      <c r="C6">
        <f>8.309336+B6</f>
        <v>15.93717</v>
      </c>
      <c r="D6">
        <v>1.166452</v>
      </c>
      <c r="E6">
        <v>7.507098</v>
      </c>
      <c r="F6">
        <f t="shared" ref="F6:F13" si="0">B6/D6</f>
        <v>6.5393466683584061</v>
      </c>
      <c r="G6" s="5">
        <v>2.2352059999999998</v>
      </c>
      <c r="H6" s="5">
        <v>9.9260079999999995</v>
      </c>
    </row>
    <row r="7" spans="1:8" x14ac:dyDescent="0.35">
      <c r="A7" s="2">
        <v>20000000</v>
      </c>
      <c r="B7">
        <v>11.705761000000001</v>
      </c>
      <c r="C7">
        <f>10.886813+B7</f>
        <v>22.592573999999999</v>
      </c>
      <c r="D7">
        <v>1.764826</v>
      </c>
      <c r="E7">
        <v>10.757872000000001</v>
      </c>
      <c r="F7">
        <f t="shared" si="0"/>
        <v>6.6328130931887905</v>
      </c>
      <c r="G7" s="5">
        <v>2.9332560000000001</v>
      </c>
      <c r="H7" s="5">
        <v>13.217007000000001</v>
      </c>
    </row>
    <row r="8" spans="1:8" x14ac:dyDescent="0.35">
      <c r="A8" s="2">
        <v>25000000</v>
      </c>
      <c r="B8">
        <v>15.923990999999999</v>
      </c>
      <c r="C8">
        <f>12.898962+B8</f>
        <v>28.822952999999998</v>
      </c>
      <c r="D8">
        <v>2.3757739999999998</v>
      </c>
      <c r="E8">
        <v>13.035807999999999</v>
      </c>
      <c r="F8">
        <f t="shared" si="0"/>
        <v>6.7026539561422931</v>
      </c>
      <c r="G8" s="5">
        <v>3.5631789999999999</v>
      </c>
      <c r="H8" s="5">
        <v>16.510265</v>
      </c>
    </row>
    <row r="9" spans="1:8" x14ac:dyDescent="0.35">
      <c r="A9" s="2">
        <v>30000000</v>
      </c>
      <c r="B9">
        <v>20.415963000000001</v>
      </c>
      <c r="C9">
        <f>15.466003+B9</f>
        <v>35.881966000000006</v>
      </c>
      <c r="D9">
        <v>3.0230920000000001</v>
      </c>
      <c r="E9">
        <v>15.552023999999999</v>
      </c>
      <c r="F9">
        <f t="shared" si="0"/>
        <v>6.7533383039616393</v>
      </c>
      <c r="G9" s="5">
        <v>4.2926489999999999</v>
      </c>
      <c r="H9" s="5">
        <v>19.987759</v>
      </c>
    </row>
    <row r="10" spans="1:8" x14ac:dyDescent="0.35">
      <c r="A10" s="2">
        <v>35000000</v>
      </c>
      <c r="B10">
        <v>25.999472999999998</v>
      </c>
      <c r="C10">
        <f>20.972771+B10</f>
        <v>46.972244000000003</v>
      </c>
      <c r="D10">
        <v>3.8592249999999999</v>
      </c>
      <c r="E10">
        <v>18.931266000000001</v>
      </c>
      <c r="F10">
        <f t="shared" si="0"/>
        <v>6.7369673963036618</v>
      </c>
      <c r="G10" s="5">
        <v>5.0395729999999999</v>
      </c>
      <c r="H10" s="5">
        <v>23.276264000000001</v>
      </c>
    </row>
    <row r="11" spans="1:8" x14ac:dyDescent="0.35">
      <c r="A11" s="2">
        <v>40000000</v>
      </c>
      <c r="B11">
        <v>32.189481999999998</v>
      </c>
      <c r="C11">
        <f>25.823072+B11</f>
        <v>58.012553999999994</v>
      </c>
      <c r="D11">
        <v>4.5912519999999999</v>
      </c>
      <c r="E11">
        <v>25.360261000000001</v>
      </c>
      <c r="F11">
        <f t="shared" si="0"/>
        <v>7.0110466600395709</v>
      </c>
      <c r="G11" s="5">
        <v>5.6888629999999996</v>
      </c>
      <c r="H11" s="5">
        <v>25.529710000000001</v>
      </c>
    </row>
    <row r="12" spans="1:8" x14ac:dyDescent="0.35">
      <c r="A12" s="2">
        <v>45000000</v>
      </c>
      <c r="B12">
        <v>37.943916999999999</v>
      </c>
      <c r="C12">
        <f>29.341272+B12</f>
        <v>67.285189000000003</v>
      </c>
      <c r="D12">
        <v>5.3966729999999998</v>
      </c>
      <c r="E12">
        <v>28.095462000000001</v>
      </c>
      <c r="F12">
        <f t="shared" si="0"/>
        <v>7.0309831631451454</v>
      </c>
      <c r="G12" s="5">
        <v>6.5045169999999999</v>
      </c>
      <c r="H12" s="5">
        <v>29.8569</v>
      </c>
    </row>
    <row r="13" spans="1:8" x14ac:dyDescent="0.35">
      <c r="A13" s="2">
        <v>50000000</v>
      </c>
      <c r="B13">
        <v>46.904995</v>
      </c>
      <c r="C13">
        <f>31.02748+B13</f>
        <v>77.932474999999997</v>
      </c>
      <c r="D13">
        <v>6.2771439999999998</v>
      </c>
      <c r="E13">
        <v>31.271104000000001</v>
      </c>
      <c r="F13">
        <f t="shared" si="0"/>
        <v>7.4723465002555303</v>
      </c>
      <c r="G13" s="5">
        <v>7.2976419999999997</v>
      </c>
      <c r="H13" s="5">
        <v>35.428055000000001</v>
      </c>
    </row>
    <row r="15" spans="1:8" ht="32" customHeight="1" x14ac:dyDescent="0.35">
      <c r="A15" s="1" t="s">
        <v>4</v>
      </c>
      <c r="B15" s="1"/>
      <c r="C15" s="1"/>
    </row>
    <row r="16" spans="1:8" x14ac:dyDescent="0.35">
      <c r="B16" s="7" t="s">
        <v>8</v>
      </c>
      <c r="C16" s="7"/>
      <c r="D16" s="7" t="s">
        <v>9</v>
      </c>
      <c r="E16" s="7"/>
      <c r="F16" s="7"/>
      <c r="G16" s="6" t="s">
        <v>10</v>
      </c>
      <c r="H16" s="6"/>
    </row>
    <row r="17" spans="1:8" x14ac:dyDescent="0.35">
      <c r="A17" s="3" t="s">
        <v>0</v>
      </c>
      <c r="B17" s="3" t="s">
        <v>1</v>
      </c>
      <c r="C17" s="3" t="s">
        <v>2</v>
      </c>
      <c r="D17" s="3" t="s">
        <v>1</v>
      </c>
      <c r="E17" s="3" t="s">
        <v>2</v>
      </c>
      <c r="F17" s="3" t="s">
        <v>11</v>
      </c>
      <c r="G17" s="4" t="s">
        <v>1</v>
      </c>
      <c r="H17" s="4" t="s">
        <v>2</v>
      </c>
    </row>
    <row r="18" spans="1:8" x14ac:dyDescent="0.35">
      <c r="A18" s="2">
        <v>10000000</v>
      </c>
      <c r="B18">
        <v>3.778915</v>
      </c>
      <c r="C18">
        <v>8.6425140000000003</v>
      </c>
      <c r="D18">
        <v>0.188636</v>
      </c>
      <c r="E18">
        <v>4.9392230000000001</v>
      </c>
      <c r="F18">
        <f>B18/D18</f>
        <v>20.032841027163425</v>
      </c>
      <c r="G18" s="5">
        <v>1.384317</v>
      </c>
      <c r="H18" s="5">
        <v>6.1650879999999999</v>
      </c>
    </row>
    <row r="19" spans="1:8" x14ac:dyDescent="0.35">
      <c r="A19" s="2">
        <v>15000000</v>
      </c>
      <c r="B19">
        <v>6.2206219999999997</v>
      </c>
      <c r="C19">
        <v>13.401472999999999</v>
      </c>
      <c r="D19">
        <v>0.30043999999999998</v>
      </c>
      <c r="E19">
        <v>8.0359610000000004</v>
      </c>
      <c r="F19">
        <f t="shared" ref="F19:F26" si="1">B19/D19</f>
        <v>20.705039275728932</v>
      </c>
      <c r="G19" s="5">
        <v>2.5880679999999998</v>
      </c>
      <c r="H19" s="5">
        <v>10.625273</v>
      </c>
    </row>
    <row r="20" spans="1:8" x14ac:dyDescent="0.35">
      <c r="A20" s="2">
        <v>20000000</v>
      </c>
      <c r="B20">
        <v>10.102762</v>
      </c>
      <c r="C20">
        <v>19.441248000000002</v>
      </c>
      <c r="D20">
        <v>0.446938</v>
      </c>
      <c r="E20">
        <v>10.283652</v>
      </c>
      <c r="F20">
        <f t="shared" si="1"/>
        <v>22.604392555566992</v>
      </c>
      <c r="G20" s="5">
        <v>2.7769949999999999</v>
      </c>
      <c r="H20" s="5">
        <v>12.613759999999999</v>
      </c>
    </row>
    <row r="21" spans="1:8" x14ac:dyDescent="0.35">
      <c r="A21" s="2">
        <v>25000000</v>
      </c>
      <c r="B21">
        <v>13.203678</v>
      </c>
      <c r="C21">
        <v>25.747924000000001</v>
      </c>
      <c r="D21">
        <v>0.60850400000000004</v>
      </c>
      <c r="E21">
        <v>11.7872</v>
      </c>
      <c r="F21">
        <f t="shared" si="1"/>
        <v>21.698588669918355</v>
      </c>
      <c r="G21" s="5">
        <v>3.9838559999999998</v>
      </c>
      <c r="H21" s="5">
        <v>16.541592000000001</v>
      </c>
    </row>
    <row r="22" spans="1:8" x14ac:dyDescent="0.35">
      <c r="A22" s="2">
        <v>30000000</v>
      </c>
      <c r="B22">
        <v>17.911546000000001</v>
      </c>
      <c r="C22">
        <v>30.626833000000001</v>
      </c>
      <c r="D22">
        <v>0.78666400000000003</v>
      </c>
      <c r="E22">
        <v>16.037421999999999</v>
      </c>
      <c r="F22">
        <f t="shared" si="1"/>
        <v>22.768991589801999</v>
      </c>
      <c r="G22" s="5">
        <v>5.5545479999999996</v>
      </c>
      <c r="H22" s="5">
        <v>19.275448000000001</v>
      </c>
    </row>
    <row r="23" spans="1:8" x14ac:dyDescent="0.35">
      <c r="A23" s="2">
        <v>35000000</v>
      </c>
      <c r="B23">
        <v>19.685684999999999</v>
      </c>
      <c r="C23">
        <v>35.967072999999999</v>
      </c>
      <c r="D23">
        <v>0.97917200000000004</v>
      </c>
      <c r="E23">
        <v>16.859352000000001</v>
      </c>
      <c r="F23">
        <f t="shared" si="1"/>
        <v>20.10441985677695</v>
      </c>
      <c r="G23" s="5">
        <v>6.1012940000000002</v>
      </c>
      <c r="H23" s="5">
        <v>22.961316</v>
      </c>
    </row>
    <row r="24" spans="1:8" x14ac:dyDescent="0.35">
      <c r="A24" s="2">
        <v>40000000</v>
      </c>
      <c r="B24">
        <v>26.964960999999999</v>
      </c>
      <c r="C24">
        <v>47.716700000000003</v>
      </c>
      <c r="D24">
        <v>1.135345</v>
      </c>
      <c r="E24">
        <v>22.491413999999999</v>
      </c>
      <c r="F24">
        <f t="shared" si="1"/>
        <v>23.750455588389432</v>
      </c>
      <c r="G24" s="5">
        <v>6.5744150000000001</v>
      </c>
      <c r="H24" s="5">
        <v>25.531298</v>
      </c>
    </row>
    <row r="25" spans="1:8" x14ac:dyDescent="0.35">
      <c r="A25" s="2">
        <v>45000000</v>
      </c>
      <c r="B25">
        <v>31.982582000000001</v>
      </c>
      <c r="C25">
        <v>55.762712000000001</v>
      </c>
      <c r="D25">
        <v>1.3597349999999999</v>
      </c>
      <c r="E25">
        <v>24.880361000000001</v>
      </c>
      <c r="F25">
        <f t="shared" si="1"/>
        <v>23.52118758434548</v>
      </c>
      <c r="G25" s="5">
        <v>7.7472500000000002</v>
      </c>
      <c r="H25" s="5">
        <v>31.823687</v>
      </c>
    </row>
    <row r="26" spans="1:8" x14ac:dyDescent="0.35">
      <c r="A26" s="2">
        <v>50000000</v>
      </c>
      <c r="B26">
        <v>33.868523000000003</v>
      </c>
      <c r="C26">
        <v>57.504927000000002</v>
      </c>
      <c r="D26">
        <v>1.552114</v>
      </c>
      <c r="E26">
        <v>25.495045000000001</v>
      </c>
      <c r="F26">
        <f t="shared" si="1"/>
        <v>21.820899109214917</v>
      </c>
      <c r="G26" s="5">
        <v>9.0593489999999992</v>
      </c>
      <c r="H26" s="5">
        <v>31.419589999999999</v>
      </c>
    </row>
  </sheetData>
  <mergeCells count="6">
    <mergeCell ref="G3:H3"/>
    <mergeCell ref="G16:H16"/>
    <mergeCell ref="B3:C3"/>
    <mergeCell ref="B16:C16"/>
    <mergeCell ref="D3:F3"/>
    <mergeCell ref="D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tabSelected="1" topLeftCell="A8" workbookViewId="0">
      <selection activeCell="E16" sqref="E16"/>
    </sheetView>
  </sheetViews>
  <sheetFormatPr defaultRowHeight="14.5" x14ac:dyDescent="0.35"/>
  <cols>
    <col min="1" max="5" width="22.6328125" customWidth="1"/>
    <col min="6" max="6" width="22.36328125" bestFit="1" customWidth="1"/>
    <col min="7" max="7" width="22.6328125" customWidth="1"/>
  </cols>
  <sheetData>
    <row r="1" spans="1:7" ht="32" customHeight="1" x14ac:dyDescent="0.35">
      <c r="A1" s="1" t="s">
        <v>6</v>
      </c>
      <c r="B1" s="1"/>
    </row>
    <row r="3" spans="1:7" x14ac:dyDescent="0.35">
      <c r="B3" s="3" t="s">
        <v>12</v>
      </c>
      <c r="C3" s="7" t="s">
        <v>9</v>
      </c>
      <c r="D3" s="7"/>
      <c r="E3" s="7"/>
      <c r="F3" s="6" t="s">
        <v>10</v>
      </c>
      <c r="G3" s="6"/>
    </row>
    <row r="4" spans="1:7" x14ac:dyDescent="0.35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4" t="s">
        <v>1</v>
      </c>
      <c r="G4" s="4" t="s">
        <v>2</v>
      </c>
    </row>
    <row r="5" spans="1:7" x14ac:dyDescent="0.35">
      <c r="A5">
        <v>1</v>
      </c>
      <c r="B5">
        <v>4.1623950000000001</v>
      </c>
      <c r="C5">
        <v>1.9988060000000001</v>
      </c>
      <c r="D5">
        <v>7.4344469999999996</v>
      </c>
      <c r="E5">
        <f>B5/C5</f>
        <v>2.0824407171081134</v>
      </c>
      <c r="F5" s="5">
        <v>2.1946720000000002</v>
      </c>
      <c r="G5" s="5">
        <v>7.352087</v>
      </c>
    </row>
    <row r="6" spans="1:7" x14ac:dyDescent="0.35">
      <c r="A6">
        <v>4</v>
      </c>
      <c r="B6">
        <v>4.1623950000000001</v>
      </c>
      <c r="C6">
        <v>1.163114</v>
      </c>
      <c r="D6">
        <v>6.4049259999999997</v>
      </c>
      <c r="E6">
        <f t="shared" ref="E6:E10" si="0">B6/C6</f>
        <v>3.5786646880701292</v>
      </c>
      <c r="F6" s="5">
        <v>1.1574359999999999</v>
      </c>
      <c r="G6" s="5">
        <v>6.3732189999999997</v>
      </c>
    </row>
    <row r="7" spans="1:7" x14ac:dyDescent="0.35">
      <c r="A7">
        <v>8</v>
      </c>
      <c r="B7">
        <v>4.1623950000000001</v>
      </c>
      <c r="C7">
        <v>0.66360600000000003</v>
      </c>
      <c r="D7">
        <v>6.0478170000000002</v>
      </c>
      <c r="E7">
        <f t="shared" si="0"/>
        <v>6.272389038073797</v>
      </c>
      <c r="F7" s="5">
        <v>1.4256819999999999</v>
      </c>
      <c r="G7" s="5">
        <v>6.6873300000000002</v>
      </c>
    </row>
    <row r="8" spans="1:7" x14ac:dyDescent="0.35">
      <c r="A8">
        <v>16</v>
      </c>
      <c r="B8">
        <v>4.1623950000000001</v>
      </c>
      <c r="C8">
        <v>0.445718</v>
      </c>
      <c r="D8">
        <v>5.636774</v>
      </c>
      <c r="E8">
        <f t="shared" si="0"/>
        <v>9.3386289088616579</v>
      </c>
      <c r="F8" s="5">
        <v>1.4419729999999999</v>
      </c>
      <c r="G8" s="5">
        <v>6.7687369999999998</v>
      </c>
    </row>
    <row r="9" spans="1:7" x14ac:dyDescent="0.35">
      <c r="A9">
        <v>32</v>
      </c>
      <c r="B9">
        <v>4.1623950000000001</v>
      </c>
      <c r="C9">
        <v>0.44677899999999998</v>
      </c>
      <c r="D9">
        <v>5.6503730000000001</v>
      </c>
      <c r="E9">
        <f t="shared" si="0"/>
        <v>9.3164517580280197</v>
      </c>
      <c r="F9" s="5">
        <v>1.43801</v>
      </c>
      <c r="G9" s="5">
        <v>7.2332419999999997</v>
      </c>
    </row>
    <row r="10" spans="1:7" x14ac:dyDescent="0.35">
      <c r="A10">
        <v>64</v>
      </c>
      <c r="B10">
        <v>4.1623950000000001</v>
      </c>
      <c r="C10">
        <v>0.44517200000000001</v>
      </c>
      <c r="D10">
        <v>5.6201809999999996</v>
      </c>
      <c r="E10">
        <f t="shared" si="0"/>
        <v>9.350082664677922</v>
      </c>
      <c r="F10" s="5">
        <v>1.439022</v>
      </c>
      <c r="G10" s="5">
        <v>6.5813569999999997</v>
      </c>
    </row>
    <row r="11" spans="1:7" x14ac:dyDescent="0.35">
      <c r="A11" s="2"/>
      <c r="B11" s="2"/>
    </row>
    <row r="12" spans="1:7" ht="32" customHeight="1" x14ac:dyDescent="0.35">
      <c r="A12" s="1" t="s">
        <v>7</v>
      </c>
      <c r="B12" s="1"/>
    </row>
    <row r="14" spans="1:7" x14ac:dyDescent="0.35">
      <c r="B14" s="3" t="s">
        <v>12</v>
      </c>
      <c r="C14" s="7" t="s">
        <v>9</v>
      </c>
      <c r="D14" s="7"/>
      <c r="E14" s="7"/>
      <c r="F14" s="6" t="s">
        <v>10</v>
      </c>
      <c r="G14" s="6"/>
    </row>
    <row r="15" spans="1:7" x14ac:dyDescent="0.35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4" t="s">
        <v>1</v>
      </c>
      <c r="G15" s="4" t="s">
        <v>2</v>
      </c>
    </row>
    <row r="16" spans="1:7" x14ac:dyDescent="0.35">
      <c r="A16">
        <v>1</v>
      </c>
      <c r="B16">
        <v>3.778915</v>
      </c>
      <c r="C16">
        <v>1.7803150000000001</v>
      </c>
      <c r="D16">
        <v>7.0986909999999996</v>
      </c>
      <c r="E16">
        <f>B16/C16</f>
        <v>2.122610324577392</v>
      </c>
      <c r="F16" s="5">
        <v>1.540073</v>
      </c>
      <c r="G16" s="5">
        <v>6.6633519999999997</v>
      </c>
    </row>
    <row r="17" spans="1:7" x14ac:dyDescent="0.35">
      <c r="A17">
        <v>4</v>
      </c>
      <c r="B17">
        <v>3.778915</v>
      </c>
      <c r="C17">
        <v>0.91214399999999995</v>
      </c>
      <c r="D17">
        <v>5.3931120000000004</v>
      </c>
      <c r="E17">
        <f t="shared" ref="E17:E21" si="1">B17/C17</f>
        <v>4.1428930081215247</v>
      </c>
      <c r="F17" s="5">
        <v>1.2319119999999999</v>
      </c>
      <c r="G17" s="5">
        <v>6.6738819999999999</v>
      </c>
    </row>
    <row r="18" spans="1:7" x14ac:dyDescent="0.35">
      <c r="A18">
        <v>8</v>
      </c>
      <c r="B18">
        <v>3.778915</v>
      </c>
      <c r="C18">
        <v>0.41222500000000001</v>
      </c>
      <c r="D18">
        <v>5.5883979999999998</v>
      </c>
      <c r="E18">
        <f t="shared" si="1"/>
        <v>9.1671174722542297</v>
      </c>
      <c r="F18" s="5">
        <v>1.4754229999999999</v>
      </c>
      <c r="G18" s="5">
        <v>6.1407610000000004</v>
      </c>
    </row>
    <row r="19" spans="1:7" x14ac:dyDescent="0.35">
      <c r="A19">
        <v>16</v>
      </c>
      <c r="B19">
        <v>3.778915</v>
      </c>
      <c r="C19">
        <v>0.248222</v>
      </c>
      <c r="D19">
        <v>5.4797409999999998</v>
      </c>
      <c r="E19">
        <f t="shared" si="1"/>
        <v>15.223932608713168</v>
      </c>
      <c r="F19" s="5">
        <v>1.988049</v>
      </c>
      <c r="G19" s="5">
        <v>7.3005849999999999</v>
      </c>
    </row>
    <row r="20" spans="1:7" x14ac:dyDescent="0.35">
      <c r="A20">
        <v>32</v>
      </c>
      <c r="B20">
        <v>3.778915</v>
      </c>
      <c r="C20">
        <v>0.18618000000000001</v>
      </c>
      <c r="D20">
        <v>4.9896700000000003</v>
      </c>
      <c r="E20">
        <f t="shared" si="1"/>
        <v>20.297104952196797</v>
      </c>
      <c r="F20" s="5">
        <v>1.7018230000000001</v>
      </c>
      <c r="G20" s="5">
        <v>7.0630740000000003</v>
      </c>
    </row>
    <row r="21" spans="1:7" x14ac:dyDescent="0.35">
      <c r="A21">
        <v>64</v>
      </c>
      <c r="B21">
        <v>3.778915</v>
      </c>
      <c r="C21">
        <v>0.175349</v>
      </c>
      <c r="D21">
        <v>4.7182089999999999</v>
      </c>
      <c r="E21">
        <f t="shared" si="1"/>
        <v>21.55082150454237</v>
      </c>
      <c r="F21" s="5">
        <v>1.561496</v>
      </c>
      <c r="G21" s="5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2026-08-14T09:53:04Z</dcterms:modified>
</cp:coreProperties>
</file>
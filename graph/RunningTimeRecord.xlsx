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graph\"/>
    </mc:Choice>
  </mc:AlternateContent>
  <xr:revisionPtr revIDLastSave="0" documentId="13_ncr:1_{15BA1BAF-E601-47E0-808D-ACCAB26369FE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Testing 1" sheetId="1" r:id="rId1"/>
    <sheet name="Testing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8" i="2"/>
  <c r="B19" i="2"/>
  <c r="B20" i="2"/>
  <c r="B21" i="2"/>
  <c r="B16" i="2"/>
  <c r="D16" i="2" s="1"/>
  <c r="B6" i="2"/>
  <c r="D6" i="2" s="1"/>
  <c r="B7" i="2"/>
  <c r="D7" i="2" s="1"/>
  <c r="B8" i="2"/>
  <c r="B9" i="2"/>
  <c r="B10" i="2"/>
  <c r="D10" i="2" s="1"/>
  <c r="B5" i="2"/>
  <c r="D5" i="2" s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4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5" i="1"/>
  <c r="D70" i="1"/>
  <c r="D67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41" i="1"/>
  <c r="D40" i="1"/>
  <c r="D17" i="2"/>
  <c r="D18" i="2"/>
  <c r="D19" i="2"/>
  <c r="D20" i="2"/>
  <c r="D21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1"/>
  <c r="D8" i="2"/>
  <c r="D9" i="2"/>
</calcChain>
</file>

<file path=xl/sharedStrings.xml><?xml version="1.0" encoding="utf-8"?>
<sst xmlns="http://schemas.openxmlformats.org/spreadsheetml/2006/main" count="38" uniqueCount="12">
  <si>
    <t>n</t>
  </si>
  <si>
    <t>Computational Time (sec)</t>
  </si>
  <si>
    <t>Num Threads</t>
  </si>
  <si>
    <t>Testing n with a fixed number of threads (num_threads = 32)</t>
  </si>
  <si>
    <t>Testing n with a fixed number of threads (num_threads = 8)</t>
  </si>
  <si>
    <t>Testing number of threads with a fixed n (n = 10,000,000, cores = 8)</t>
  </si>
  <si>
    <t>Testing number of threads with a fixed n (n = 10,000,000, cores = 32)</t>
  </si>
  <si>
    <t>Serial Code</t>
  </si>
  <si>
    <t>POSIX (Cyclic Partitioning)</t>
  </si>
  <si>
    <t>Speedup</t>
  </si>
  <si>
    <t>Serial Code (Baseline)</t>
  </si>
  <si>
    <t>Open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</si>
</sst>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5" zoomScaleNormal="100" workbookViewId="0">
      <selection activeCell="E44" sqref="E44"/>
    </sheetView>
  </sheetViews>
  <sheetFormatPr defaultRowHeight="14.5" x14ac:dyDescent="0.35"/>
  <cols>
    <col min="1" max="1" width="22.6328125" customWidth="1"/>
    <col min="2" max="2" width="22.6328125" style="6" customWidth="1"/>
    <col min="3" max="3" width="22.6328125" customWidth="1"/>
    <col min="4" max="4" width="22.6328125" style="6" customWidth="1"/>
    <col min="5" max="5" width="22.08984375" bestFit="1" customWidth="1"/>
    <col min="6" max="6" width="22.6328125" customWidth="1"/>
  </cols>
  <sheetData>
    <row r="1" spans="1:6" ht="32" customHeight="1" x14ac:dyDescent="0.35">
      <c r="A1" s="1" t="s">
        <v>4</v>
      </c>
      <c r="B1" s="4"/>
      <c r="D1"/>
    </row>
    <row r="3" spans="1:6" x14ac:dyDescent="0.35">
      <c r="B3" s="5" t="s">
        <v>7</v>
      </c>
      <c r="C3" s="9" t="s">
        <v>8</v>
      </c>
      <c r="D3" s="8"/>
      <c r="E3" s="7" t="s">
        <v>11</v>
      </c>
      <c r="F3" s="7"/>
    </row>
    <row r="4" spans="1:6" x14ac:dyDescent="0.35">
      <c r="A4" s="3" t="s">
        <v>0</v>
      </c>
      <c r="B4" s="5" t="s">
        <v>1</v>
      </c>
      <c r="C4" s="3" t="s">
        <v>1</v>
      </c>
      <c r="D4" s="5" t="s">
        <v>9</v>
      </c>
      <c r="E4" s="3" t="s">
        <v>1</v>
      </c>
      <c r="F4" s="3" t="s">
        <v>9</v>
      </c>
    </row>
    <row r="5" spans="1:6" x14ac:dyDescent="0.35">
      <c r="A5" s="2">
        <v>10000000</v>
      </c>
      <c r="B5" s="6">
        <v>1.981976</v>
      </c>
      <c r="C5">
        <v>0.66401900000000003</v>
      </c>
      <c r="D5" s="6">
        <f t="shared" ref="D5:D35" si="0">B5/C5</f>
        <v>2.9848182055031556</v>
      </c>
      <c r="E5">
        <v>0.39406000000000002</v>
      </c>
      <c r="F5">
        <f>B5/E5</f>
        <v>5.0296300055829057</v>
      </c>
    </row>
    <row r="6" spans="1:6" x14ac:dyDescent="0.35">
      <c r="A6" s="2">
        <v>11000000</v>
      </c>
      <c r="B6" s="6">
        <v>2.2297829999999998</v>
      </c>
      <c r="C6">
        <v>0.76085100000000006</v>
      </c>
      <c r="D6" s="6">
        <f t="shared" si="0"/>
        <v>2.9306434505573362</v>
      </c>
      <c r="E6">
        <v>0.44486100000000001</v>
      </c>
      <c r="F6">
        <f t="shared" ref="F6:F35" si="1">B6/E6</f>
        <v>5.0123139587421681</v>
      </c>
    </row>
    <row r="7" spans="1:6" x14ac:dyDescent="0.35">
      <c r="A7" s="2">
        <v>12000000</v>
      </c>
      <c r="B7" s="6">
        <v>2.5267469999999999</v>
      </c>
      <c r="C7">
        <v>0.84793499999999999</v>
      </c>
      <c r="D7" s="6">
        <f t="shared" si="0"/>
        <v>2.9798828919669549</v>
      </c>
      <c r="E7">
        <v>0.503745</v>
      </c>
      <c r="F7">
        <f t="shared" si="1"/>
        <v>5.015924723818598</v>
      </c>
    </row>
    <row r="8" spans="1:6" x14ac:dyDescent="0.35">
      <c r="A8" s="2">
        <v>13000000</v>
      </c>
      <c r="B8" s="6">
        <v>2.9097770000000001</v>
      </c>
      <c r="C8">
        <v>0.93635000000000002</v>
      </c>
      <c r="D8" s="6">
        <f t="shared" si="0"/>
        <v>3.1075740908848188</v>
      </c>
      <c r="E8">
        <v>0.56333999999999995</v>
      </c>
      <c r="F8">
        <f t="shared" si="1"/>
        <v>5.1652234884794268</v>
      </c>
    </row>
    <row r="9" spans="1:6" x14ac:dyDescent="0.35">
      <c r="A9" s="2">
        <v>14000000</v>
      </c>
      <c r="B9" s="6">
        <v>3.1935090000000002</v>
      </c>
      <c r="C9">
        <v>1.0725750000000001</v>
      </c>
      <c r="D9" s="6">
        <f t="shared" si="0"/>
        <v>2.9774225578630866</v>
      </c>
      <c r="E9">
        <v>0.64324000000000003</v>
      </c>
      <c r="F9">
        <f t="shared" si="1"/>
        <v>4.9647238977675521</v>
      </c>
    </row>
    <row r="10" spans="1:6" x14ac:dyDescent="0.35">
      <c r="A10" s="2">
        <v>15000000</v>
      </c>
      <c r="B10" s="6">
        <v>3.5089090000000001</v>
      </c>
      <c r="C10">
        <v>1.16066</v>
      </c>
      <c r="D10" s="6">
        <f t="shared" si="0"/>
        <v>3.0232014543449415</v>
      </c>
      <c r="E10">
        <v>0.71464700000000003</v>
      </c>
      <c r="F10">
        <f t="shared" si="1"/>
        <v>4.909989127499311</v>
      </c>
    </row>
    <row r="11" spans="1:6" x14ac:dyDescent="0.35">
      <c r="A11" s="2">
        <v>16000000</v>
      </c>
      <c r="B11" s="6">
        <v>3.8552059999999999</v>
      </c>
      <c r="C11">
        <v>1.268275</v>
      </c>
      <c r="D11" s="6">
        <f t="shared" si="0"/>
        <v>3.0397240346139438</v>
      </c>
      <c r="E11">
        <v>0.76313900000000001</v>
      </c>
      <c r="F11">
        <f t="shared" si="1"/>
        <v>5.0517743163434181</v>
      </c>
    </row>
    <row r="12" spans="1:6" x14ac:dyDescent="0.35">
      <c r="A12" s="2">
        <v>17000000</v>
      </c>
      <c r="B12" s="6">
        <v>4.1694719999999998</v>
      </c>
      <c r="C12">
        <v>1.3796630000000001</v>
      </c>
      <c r="D12" s="6">
        <f t="shared" si="0"/>
        <v>3.0220945259820691</v>
      </c>
      <c r="E12">
        <v>0.83806499999999995</v>
      </c>
      <c r="F12">
        <f t="shared" si="1"/>
        <v>4.9751176818027245</v>
      </c>
    </row>
    <row r="13" spans="1:6" x14ac:dyDescent="0.35">
      <c r="A13" s="2">
        <v>18000000</v>
      </c>
      <c r="B13" s="6">
        <v>4.5304719999999996</v>
      </c>
      <c r="C13">
        <v>1.566074</v>
      </c>
      <c r="D13" s="6">
        <f t="shared" si="0"/>
        <v>2.8928850105422859</v>
      </c>
      <c r="E13">
        <v>0.91649099999999994</v>
      </c>
      <c r="F13">
        <f t="shared" si="1"/>
        <v>4.9432804031899931</v>
      </c>
    </row>
    <row r="14" spans="1:6" x14ac:dyDescent="0.35">
      <c r="A14" s="2">
        <v>19000000</v>
      </c>
      <c r="B14" s="6">
        <v>4.9316899999999997</v>
      </c>
      <c r="C14">
        <v>1.6360399999999999</v>
      </c>
      <c r="D14" s="6">
        <f t="shared" si="0"/>
        <v>3.0144067382215591</v>
      </c>
      <c r="E14">
        <v>0.96938500000000005</v>
      </c>
      <c r="F14">
        <f t="shared" si="1"/>
        <v>5.08744203799316</v>
      </c>
    </row>
    <row r="15" spans="1:6" x14ac:dyDescent="0.35">
      <c r="A15" s="2">
        <v>20000000</v>
      </c>
      <c r="B15" s="6">
        <v>5.2636799999999999</v>
      </c>
      <c r="C15">
        <v>1.75071</v>
      </c>
      <c r="D15" s="6">
        <f t="shared" si="0"/>
        <v>3.0065973233716607</v>
      </c>
      <c r="E15">
        <v>1.0389330000000001</v>
      </c>
      <c r="F15">
        <f t="shared" si="1"/>
        <v>5.0664287302453568</v>
      </c>
    </row>
    <row r="16" spans="1:6" x14ac:dyDescent="0.35">
      <c r="A16" s="2">
        <v>21000000</v>
      </c>
      <c r="B16" s="6">
        <v>5.5957280000000003</v>
      </c>
      <c r="C16">
        <v>1.9254990000000001</v>
      </c>
      <c r="D16" s="6">
        <f t="shared" si="0"/>
        <v>2.9061183620453712</v>
      </c>
      <c r="E16">
        <v>1.1112550000000001</v>
      </c>
      <c r="F16">
        <f t="shared" si="1"/>
        <v>5.0355031023482457</v>
      </c>
    </row>
    <row r="17" spans="1:6" x14ac:dyDescent="0.35">
      <c r="A17" s="2">
        <v>22000000</v>
      </c>
      <c r="B17" s="6">
        <v>6.0139670000000001</v>
      </c>
      <c r="C17">
        <v>2.0128330000000001</v>
      </c>
      <c r="D17" s="6">
        <f t="shared" si="0"/>
        <v>2.987812202999454</v>
      </c>
      <c r="E17">
        <v>1.20808</v>
      </c>
      <c r="F17">
        <f t="shared" si="1"/>
        <v>4.9781198265015565</v>
      </c>
    </row>
    <row r="18" spans="1:6" x14ac:dyDescent="0.35">
      <c r="A18" s="2">
        <v>23000000</v>
      </c>
      <c r="B18" s="6">
        <v>6.3563710000000002</v>
      </c>
      <c r="C18">
        <v>2.1030869999999999</v>
      </c>
      <c r="D18" s="6">
        <f t="shared" si="0"/>
        <v>3.0224004047383684</v>
      </c>
      <c r="E18">
        <v>1.270966</v>
      </c>
      <c r="F18">
        <f t="shared" si="1"/>
        <v>5.0012124635906865</v>
      </c>
    </row>
    <row r="19" spans="1:6" x14ac:dyDescent="0.35">
      <c r="A19" s="2">
        <v>24000000</v>
      </c>
      <c r="B19" s="6">
        <v>6.8612270000000004</v>
      </c>
      <c r="C19">
        <v>2.2671899999999998</v>
      </c>
      <c r="D19" s="6">
        <f t="shared" si="0"/>
        <v>3.0263131894547879</v>
      </c>
      <c r="E19">
        <v>1.353019</v>
      </c>
      <c r="F19">
        <f t="shared" si="1"/>
        <v>5.0710500000369549</v>
      </c>
    </row>
    <row r="20" spans="1:6" x14ac:dyDescent="0.35">
      <c r="A20" s="2">
        <v>25000000</v>
      </c>
      <c r="B20" s="6">
        <v>7.2563430000000002</v>
      </c>
      <c r="C20">
        <v>2.413516</v>
      </c>
      <c r="D20" s="6">
        <f t="shared" si="0"/>
        <v>3.0065443941535919</v>
      </c>
      <c r="E20">
        <v>1.428434</v>
      </c>
      <c r="F20">
        <f t="shared" si="1"/>
        <v>5.0799287891495162</v>
      </c>
    </row>
    <row r="21" spans="1:6" x14ac:dyDescent="0.35">
      <c r="A21" s="2">
        <v>26000000</v>
      </c>
      <c r="B21" s="6">
        <v>7.6664630000000002</v>
      </c>
      <c r="C21">
        <v>2.524848</v>
      </c>
      <c r="D21" s="6">
        <f t="shared" si="0"/>
        <v>3.036405755910851</v>
      </c>
      <c r="E21">
        <v>1.5375620000000001</v>
      </c>
      <c r="F21">
        <f t="shared" si="1"/>
        <v>4.9861163322194484</v>
      </c>
    </row>
    <row r="22" spans="1:6" x14ac:dyDescent="0.35">
      <c r="A22" s="2">
        <v>27000000</v>
      </c>
      <c r="B22" s="6">
        <v>8.0430080000000004</v>
      </c>
      <c r="C22">
        <v>2.716825</v>
      </c>
      <c r="D22" s="6">
        <f t="shared" si="0"/>
        <v>2.9604439005088663</v>
      </c>
      <c r="E22">
        <v>1.596641</v>
      </c>
      <c r="F22">
        <f t="shared" si="1"/>
        <v>5.0374555081574384</v>
      </c>
    </row>
    <row r="23" spans="1:6" x14ac:dyDescent="0.35">
      <c r="A23" s="2">
        <v>28000000</v>
      </c>
      <c r="B23" s="6">
        <v>8.5758749999999999</v>
      </c>
      <c r="C23">
        <v>2.8388429999999998</v>
      </c>
      <c r="D23" s="6">
        <f t="shared" si="0"/>
        <v>3.0209049954506115</v>
      </c>
      <c r="E23">
        <v>1.672161</v>
      </c>
      <c r="F23">
        <f t="shared" si="1"/>
        <v>5.1286179979080959</v>
      </c>
    </row>
    <row r="24" spans="1:6" x14ac:dyDescent="0.35">
      <c r="A24" s="2">
        <v>29000000</v>
      </c>
      <c r="B24" s="6">
        <v>8.9751270000000005</v>
      </c>
      <c r="C24">
        <v>2.9750390000000002</v>
      </c>
      <c r="D24" s="6">
        <f t="shared" si="0"/>
        <v>3.0168098636690139</v>
      </c>
      <c r="E24">
        <v>1.7628299999999999</v>
      </c>
      <c r="F24">
        <f t="shared" si="1"/>
        <v>5.0913173703646981</v>
      </c>
    </row>
    <row r="25" spans="1:6" x14ac:dyDescent="0.35">
      <c r="A25" s="2">
        <v>30000000</v>
      </c>
      <c r="B25" s="6">
        <v>9.3495889999999999</v>
      </c>
      <c r="C25">
        <v>3.0683389999999999</v>
      </c>
      <c r="D25" s="6">
        <f t="shared" si="0"/>
        <v>3.0471173491586163</v>
      </c>
      <c r="E25">
        <v>1.8428850000000001</v>
      </c>
      <c r="F25">
        <f t="shared" si="1"/>
        <v>5.0733436975177506</v>
      </c>
    </row>
    <row r="26" spans="1:6" x14ac:dyDescent="0.35">
      <c r="A26" s="2">
        <v>31000000</v>
      </c>
      <c r="B26" s="6">
        <v>9.8527170000000002</v>
      </c>
      <c r="C26">
        <v>3.2272479999999999</v>
      </c>
      <c r="D26" s="6">
        <f t="shared" si="0"/>
        <v>3.0529779552113752</v>
      </c>
      <c r="E26">
        <v>1.928795</v>
      </c>
      <c r="F26">
        <f t="shared" si="1"/>
        <v>5.1082240466197808</v>
      </c>
    </row>
    <row r="27" spans="1:6" x14ac:dyDescent="0.35">
      <c r="A27" s="2">
        <v>32000000</v>
      </c>
      <c r="B27" s="6">
        <v>10.180562999999999</v>
      </c>
      <c r="C27">
        <v>3.381545</v>
      </c>
      <c r="D27" s="6">
        <f t="shared" si="0"/>
        <v>3.0106247292287991</v>
      </c>
      <c r="E27">
        <v>2.0565920000000002</v>
      </c>
      <c r="F27">
        <f t="shared" si="1"/>
        <v>4.9502103479931838</v>
      </c>
    </row>
    <row r="28" spans="1:6" x14ac:dyDescent="0.35">
      <c r="A28" s="2">
        <v>33000000</v>
      </c>
      <c r="B28" s="6">
        <v>10.700431</v>
      </c>
      <c r="C28">
        <v>3.4923199999999999</v>
      </c>
      <c r="D28" s="6">
        <f t="shared" si="0"/>
        <v>3.0639892678792324</v>
      </c>
      <c r="E28">
        <v>2.119332</v>
      </c>
      <c r="F28">
        <f t="shared" si="1"/>
        <v>5.0489640131890612</v>
      </c>
    </row>
    <row r="29" spans="1:6" x14ac:dyDescent="0.35">
      <c r="A29" s="2">
        <v>34000000</v>
      </c>
      <c r="B29" s="6">
        <v>11.212687000000001</v>
      </c>
      <c r="C29">
        <v>3.6668919999999998</v>
      </c>
      <c r="D29" s="6">
        <f t="shared" si="0"/>
        <v>3.0578176286620935</v>
      </c>
      <c r="E29">
        <v>2.2130070000000002</v>
      </c>
      <c r="F29">
        <f t="shared" si="1"/>
        <v>5.0667200781561013</v>
      </c>
    </row>
    <row r="30" spans="1:6" x14ac:dyDescent="0.35">
      <c r="A30" s="2">
        <v>35000000</v>
      </c>
      <c r="B30" s="6">
        <v>11.635517</v>
      </c>
      <c r="C30">
        <v>3.7689819999999998</v>
      </c>
      <c r="D30" s="6">
        <f t="shared" si="0"/>
        <v>3.0871776516841951</v>
      </c>
      <c r="E30">
        <v>2.3499059999999998</v>
      </c>
      <c r="F30">
        <f t="shared" si="1"/>
        <v>4.951481889062797</v>
      </c>
    </row>
    <row r="31" spans="1:6" x14ac:dyDescent="0.35">
      <c r="A31" s="2">
        <v>36000000</v>
      </c>
      <c r="B31" s="6">
        <v>12.220283</v>
      </c>
      <c r="C31">
        <v>4.518008</v>
      </c>
      <c r="D31" s="6">
        <f t="shared" si="0"/>
        <v>2.704794458088609</v>
      </c>
      <c r="E31">
        <v>2.4693049999999999</v>
      </c>
      <c r="F31">
        <f t="shared" si="1"/>
        <v>4.9488754933068213</v>
      </c>
    </row>
    <row r="32" spans="1:6" x14ac:dyDescent="0.35">
      <c r="A32" s="2">
        <v>37000000</v>
      </c>
      <c r="B32" s="6">
        <v>12.621880000000001</v>
      </c>
      <c r="C32">
        <v>5.2665649999999999</v>
      </c>
      <c r="D32" s="6">
        <f t="shared" si="0"/>
        <v>2.3966057572630359</v>
      </c>
      <c r="E32">
        <v>3.0958739999999998</v>
      </c>
      <c r="F32">
        <f t="shared" si="1"/>
        <v>4.0770005497639765</v>
      </c>
    </row>
    <row r="33" spans="1:8" x14ac:dyDescent="0.35">
      <c r="A33" s="2">
        <v>38000000</v>
      </c>
      <c r="B33" s="6">
        <v>13.593923999999999</v>
      </c>
      <c r="C33">
        <v>4.8746859999999996</v>
      </c>
      <c r="D33" s="6">
        <f t="shared" si="0"/>
        <v>2.7886768501601948</v>
      </c>
      <c r="E33">
        <v>3.0987979999999999</v>
      </c>
      <c r="F33">
        <f t="shared" si="1"/>
        <v>4.386837735147628</v>
      </c>
    </row>
    <row r="34" spans="1:8" x14ac:dyDescent="0.35">
      <c r="A34" s="2">
        <v>39000000</v>
      </c>
      <c r="B34" s="6">
        <v>13.916072</v>
      </c>
      <c r="C34">
        <v>4.905627</v>
      </c>
      <c r="D34" s="6">
        <f t="shared" si="0"/>
        <v>2.8367570547047301</v>
      </c>
      <c r="E34">
        <v>3.2922889999999998</v>
      </c>
      <c r="F34">
        <f t="shared" si="1"/>
        <v>4.2268682974064555</v>
      </c>
    </row>
    <row r="35" spans="1:8" x14ac:dyDescent="0.35">
      <c r="A35" s="2">
        <v>40000000</v>
      </c>
      <c r="B35" s="6">
        <v>14.713252000000001</v>
      </c>
      <c r="C35">
        <v>5.2940889999999996</v>
      </c>
      <c r="D35" s="6">
        <f t="shared" si="0"/>
        <v>2.779184860700302</v>
      </c>
      <c r="E35">
        <v>3.4938380000000002</v>
      </c>
      <c r="F35">
        <f t="shared" si="1"/>
        <v>4.2112004048270126</v>
      </c>
    </row>
    <row r="36" spans="1:8" x14ac:dyDescent="0.35">
      <c r="B36"/>
      <c r="D36"/>
    </row>
    <row r="37" spans="1:8" ht="32" customHeight="1" x14ac:dyDescent="0.35">
      <c r="A37" s="10" t="s">
        <v>3</v>
      </c>
      <c r="B37" s="10"/>
      <c r="C37" s="10"/>
      <c r="D37" s="10"/>
      <c r="E37" s="10"/>
      <c r="F37" s="10"/>
      <c r="G37" s="10"/>
      <c r="H37" s="10"/>
    </row>
    <row r="38" spans="1:8" x14ac:dyDescent="0.35">
      <c r="B38" s="5" t="s">
        <v>7</v>
      </c>
      <c r="C38" s="9" t="s">
        <v>8</v>
      </c>
      <c r="D38" s="8"/>
      <c r="E38" s="7" t="s">
        <v>11</v>
      </c>
      <c r="F38" s="7"/>
      <c r="G38" s="3"/>
    </row>
    <row r="39" spans="1:8" x14ac:dyDescent="0.35">
      <c r="A39" s="3" t="s">
        <v>0</v>
      </c>
      <c r="B39" s="5" t="s">
        <v>1</v>
      </c>
      <c r="C39" s="3" t="s">
        <v>1</v>
      </c>
      <c r="D39" s="5" t="s">
        <v>9</v>
      </c>
      <c r="E39" s="3" t="s">
        <v>1</v>
      </c>
      <c r="F39" s="3" t="s">
        <v>9</v>
      </c>
    </row>
    <row r="40" spans="1:8" x14ac:dyDescent="0.35">
      <c r="A40" s="2">
        <v>10000000</v>
      </c>
      <c r="B40" s="6">
        <v>1.909535</v>
      </c>
      <c r="C40">
        <v>0.19961499999999999</v>
      </c>
      <c r="D40" s="6">
        <f t="shared" ref="D40:D70" si="2">B40/C40</f>
        <v>9.5660897227162298</v>
      </c>
      <c r="E40">
        <v>0.17649999999999999</v>
      </c>
      <c r="F40">
        <f>B40/E40</f>
        <v>10.818895184135977</v>
      </c>
    </row>
    <row r="41" spans="1:8" x14ac:dyDescent="0.35">
      <c r="A41" s="2">
        <v>11000000</v>
      </c>
      <c r="B41" s="6">
        <v>2.0607150000000001</v>
      </c>
      <c r="C41">
        <v>0.208622</v>
      </c>
      <c r="D41" s="6">
        <f t="shared" si="2"/>
        <v>9.877745395979332</v>
      </c>
      <c r="E41">
        <v>0.14477699999999999</v>
      </c>
      <c r="F41">
        <f t="shared" ref="F41:F70" si="3">B41/E41</f>
        <v>14.23371806295199</v>
      </c>
    </row>
    <row r="42" spans="1:8" x14ac:dyDescent="0.35">
      <c r="A42" s="2">
        <v>12000000</v>
      </c>
      <c r="B42" s="6">
        <v>2.3441619999999999</v>
      </c>
      <c r="C42">
        <v>0.230629</v>
      </c>
      <c r="D42" s="6">
        <f t="shared" si="2"/>
        <v>10.164211786028643</v>
      </c>
      <c r="E42">
        <v>0.140874</v>
      </c>
      <c r="F42">
        <f t="shared" si="3"/>
        <v>16.640132316822125</v>
      </c>
    </row>
    <row r="43" spans="1:8" x14ac:dyDescent="0.35">
      <c r="A43" s="2">
        <v>13000000</v>
      </c>
      <c r="B43" s="6">
        <v>2.618735</v>
      </c>
      <c r="C43">
        <v>0.268316</v>
      </c>
      <c r="D43" s="6">
        <f t="shared" si="2"/>
        <v>9.7598913221723649</v>
      </c>
      <c r="E43">
        <v>0.15146899999999999</v>
      </c>
      <c r="F43">
        <f t="shared" si="3"/>
        <v>17.288917204180393</v>
      </c>
    </row>
    <row r="44" spans="1:8" x14ac:dyDescent="0.35">
      <c r="A44" s="2">
        <v>14000000</v>
      </c>
      <c r="B44" s="6">
        <v>2.932696</v>
      </c>
      <c r="C44">
        <v>0.29424</v>
      </c>
      <c r="D44" s="6">
        <f t="shared" si="2"/>
        <v>9.9670201196302344</v>
      </c>
      <c r="E44">
        <v>0.166132</v>
      </c>
      <c r="F44">
        <f t="shared" si="3"/>
        <v>17.652806202296969</v>
      </c>
    </row>
    <row r="45" spans="1:8" x14ac:dyDescent="0.35">
      <c r="A45" s="2">
        <v>15000000</v>
      </c>
      <c r="B45" s="6">
        <v>2.935181</v>
      </c>
      <c r="C45">
        <v>0.319859</v>
      </c>
      <c r="D45" s="6">
        <f t="shared" si="2"/>
        <v>9.1764840132683467</v>
      </c>
      <c r="E45">
        <v>0.183388</v>
      </c>
      <c r="F45">
        <f t="shared" si="3"/>
        <v>16.005305690666784</v>
      </c>
    </row>
    <row r="46" spans="1:8" x14ac:dyDescent="0.35">
      <c r="A46" s="2">
        <v>16000000</v>
      </c>
      <c r="B46" s="6">
        <v>2.9385319999999999</v>
      </c>
      <c r="C46">
        <v>0.374307</v>
      </c>
      <c r="D46" s="6">
        <f t="shared" si="2"/>
        <v>7.8505932296216736</v>
      </c>
      <c r="E46">
        <v>0.199738</v>
      </c>
      <c r="F46">
        <f t="shared" si="3"/>
        <v>14.711932631747588</v>
      </c>
    </row>
    <row r="47" spans="1:8" x14ac:dyDescent="0.35">
      <c r="A47" s="2">
        <v>17000000</v>
      </c>
      <c r="B47" s="6">
        <v>3.1479159999999999</v>
      </c>
      <c r="C47">
        <v>0.41203099999999998</v>
      </c>
      <c r="D47" s="6">
        <f t="shared" si="2"/>
        <v>7.6399979613184446</v>
      </c>
      <c r="E47">
        <v>0.22170100000000001</v>
      </c>
      <c r="F47">
        <f t="shared" si="3"/>
        <v>14.198925579947767</v>
      </c>
    </row>
    <row r="48" spans="1:8" x14ac:dyDescent="0.35">
      <c r="A48" s="2">
        <v>18000000</v>
      </c>
      <c r="B48" s="6">
        <v>3.984353</v>
      </c>
      <c r="C48">
        <v>0.39272200000000002</v>
      </c>
      <c r="D48" s="6">
        <f t="shared" si="2"/>
        <v>10.14547949949328</v>
      </c>
      <c r="E48">
        <v>0.23760600000000001</v>
      </c>
      <c r="F48">
        <f t="shared" si="3"/>
        <v>16.768739004907282</v>
      </c>
    </row>
    <row r="49" spans="1:6" x14ac:dyDescent="0.35">
      <c r="A49" s="2">
        <v>19000000</v>
      </c>
      <c r="B49" s="6">
        <v>4.5080559999999998</v>
      </c>
      <c r="C49">
        <v>0.41116200000000003</v>
      </c>
      <c r="D49" s="6">
        <f t="shared" si="2"/>
        <v>10.964184433386352</v>
      </c>
      <c r="E49">
        <v>0.25980799999999998</v>
      </c>
      <c r="F49">
        <f t="shared" si="3"/>
        <v>17.351490331321592</v>
      </c>
    </row>
    <row r="50" spans="1:6" x14ac:dyDescent="0.35">
      <c r="A50" s="2">
        <v>20000000</v>
      </c>
      <c r="B50" s="6">
        <v>4.8301439999999998</v>
      </c>
      <c r="C50">
        <v>0.46141599999999999</v>
      </c>
      <c r="D50" s="6">
        <f t="shared" si="2"/>
        <v>10.468089533089445</v>
      </c>
      <c r="E50">
        <v>0.27559299999999998</v>
      </c>
      <c r="F50">
        <f t="shared" si="3"/>
        <v>17.526366779998042</v>
      </c>
    </row>
    <row r="51" spans="1:6" x14ac:dyDescent="0.35">
      <c r="A51" s="2">
        <v>21000000</v>
      </c>
      <c r="B51" s="6">
        <v>4.261908</v>
      </c>
      <c r="C51">
        <v>0.64751300000000001</v>
      </c>
      <c r="D51" s="6">
        <f t="shared" si="2"/>
        <v>6.5819651497344456</v>
      </c>
      <c r="E51">
        <v>0.303315</v>
      </c>
      <c r="F51">
        <f t="shared" si="3"/>
        <v>14.051095395875574</v>
      </c>
    </row>
    <row r="52" spans="1:6" x14ac:dyDescent="0.35">
      <c r="A52" s="2">
        <v>22000000</v>
      </c>
      <c r="B52" s="6">
        <v>4.6739220000000001</v>
      </c>
      <c r="C52">
        <v>0.73573200000000005</v>
      </c>
      <c r="D52" s="6">
        <f t="shared" si="2"/>
        <v>6.3527507298853383</v>
      </c>
      <c r="E52">
        <v>0.344914</v>
      </c>
      <c r="F52">
        <f t="shared" si="3"/>
        <v>13.550977924932013</v>
      </c>
    </row>
    <row r="53" spans="1:6" x14ac:dyDescent="0.35">
      <c r="A53" s="2">
        <v>23000000</v>
      </c>
      <c r="B53" s="6">
        <v>5.8025909999999996</v>
      </c>
      <c r="C53">
        <v>0.65195899999999996</v>
      </c>
      <c r="D53" s="6">
        <f t="shared" si="2"/>
        <v>8.900239125466479</v>
      </c>
      <c r="E53">
        <v>0.33877099999999999</v>
      </c>
      <c r="F53">
        <f t="shared" si="3"/>
        <v>17.128358094405954</v>
      </c>
    </row>
    <row r="54" spans="1:6" x14ac:dyDescent="0.35">
      <c r="A54" s="2">
        <v>24000000</v>
      </c>
      <c r="B54" s="6">
        <v>6.2275739999999997</v>
      </c>
      <c r="C54">
        <v>0.62831400000000004</v>
      </c>
      <c r="D54" s="6">
        <f t="shared" si="2"/>
        <v>9.9115633266169461</v>
      </c>
      <c r="E54">
        <v>0.36179899999999998</v>
      </c>
      <c r="F54">
        <f t="shared" si="3"/>
        <v>17.212800477613261</v>
      </c>
    </row>
    <row r="55" spans="1:6" x14ac:dyDescent="0.35">
      <c r="A55" s="2">
        <v>25000000</v>
      </c>
      <c r="B55" s="6">
        <v>5.5089629999999996</v>
      </c>
      <c r="C55">
        <v>0.62590500000000004</v>
      </c>
      <c r="D55" s="6">
        <f t="shared" si="2"/>
        <v>8.8015960888633238</v>
      </c>
      <c r="E55">
        <v>0.37873499999999999</v>
      </c>
      <c r="F55">
        <f t="shared" si="3"/>
        <v>14.545692898728662</v>
      </c>
    </row>
    <row r="56" spans="1:6" x14ac:dyDescent="0.35">
      <c r="A56" s="2">
        <v>26000000</v>
      </c>
      <c r="B56" s="6">
        <v>6.759309</v>
      </c>
      <c r="C56">
        <v>0.64108600000000004</v>
      </c>
      <c r="D56" s="6">
        <f t="shared" si="2"/>
        <v>10.543529261284757</v>
      </c>
      <c r="E56">
        <v>0.402088</v>
      </c>
      <c r="F56">
        <f t="shared" si="3"/>
        <v>16.810521577366149</v>
      </c>
    </row>
    <row r="57" spans="1:6" x14ac:dyDescent="0.35">
      <c r="A57" s="2">
        <v>27000000</v>
      </c>
      <c r="B57" s="6">
        <v>7.3081040000000002</v>
      </c>
      <c r="C57">
        <v>0.68704200000000004</v>
      </c>
      <c r="D57" s="6">
        <f t="shared" si="2"/>
        <v>10.637055667630218</v>
      </c>
      <c r="E57">
        <v>0.42627999999999999</v>
      </c>
      <c r="F57">
        <f t="shared" si="3"/>
        <v>17.143905414281694</v>
      </c>
    </row>
    <row r="58" spans="1:6" x14ac:dyDescent="0.35">
      <c r="A58" s="2">
        <v>28000000</v>
      </c>
      <c r="B58" s="6">
        <v>7.7859230000000004</v>
      </c>
      <c r="C58">
        <v>0.85647399999999996</v>
      </c>
      <c r="D58" s="6">
        <f t="shared" si="2"/>
        <v>9.0906705866144222</v>
      </c>
      <c r="E58">
        <v>0.46981200000000001</v>
      </c>
      <c r="F58">
        <f t="shared" si="3"/>
        <v>16.572422586055698</v>
      </c>
    </row>
    <row r="59" spans="1:6" x14ac:dyDescent="0.35">
      <c r="A59" s="2">
        <v>29000000</v>
      </c>
      <c r="B59" s="6">
        <v>8.1711229999999997</v>
      </c>
      <c r="C59">
        <v>0.87755899999999998</v>
      </c>
      <c r="D59" s="6">
        <f t="shared" si="2"/>
        <v>9.3111950307614642</v>
      </c>
      <c r="E59">
        <v>0.48134700000000002</v>
      </c>
      <c r="F59">
        <f t="shared" si="3"/>
        <v>16.975535320673025</v>
      </c>
    </row>
    <row r="60" spans="1:6" x14ac:dyDescent="0.35">
      <c r="A60" s="2">
        <v>30000000</v>
      </c>
      <c r="B60" s="6">
        <v>7.8258559999999999</v>
      </c>
      <c r="C60">
        <v>0.91805499999999995</v>
      </c>
      <c r="D60" s="6">
        <f t="shared" si="2"/>
        <v>8.5243868831388099</v>
      </c>
      <c r="E60">
        <v>0.49238599999999999</v>
      </c>
      <c r="F60">
        <f t="shared" si="3"/>
        <v>15.893741901678764</v>
      </c>
    </row>
    <row r="61" spans="1:6" x14ac:dyDescent="0.35">
      <c r="A61" s="2">
        <v>31000000</v>
      </c>
      <c r="B61" s="6">
        <v>8.2571309999999993</v>
      </c>
      <c r="C61">
        <v>0.94625599999999999</v>
      </c>
      <c r="D61" s="6">
        <f t="shared" si="2"/>
        <v>8.7261068886221054</v>
      </c>
      <c r="E61">
        <v>0.51916799999999996</v>
      </c>
      <c r="F61">
        <f t="shared" si="3"/>
        <v>15.904545349482248</v>
      </c>
    </row>
    <row r="62" spans="1:6" x14ac:dyDescent="0.35">
      <c r="A62" s="2">
        <v>32000000</v>
      </c>
      <c r="B62" s="6">
        <v>9.3257549999999991</v>
      </c>
      <c r="C62">
        <v>0.89138200000000001</v>
      </c>
      <c r="D62" s="6">
        <f t="shared" si="2"/>
        <v>10.462130713880244</v>
      </c>
      <c r="E62">
        <v>0.54023399999999999</v>
      </c>
      <c r="F62">
        <f t="shared" si="3"/>
        <v>17.262436277613034</v>
      </c>
    </row>
    <row r="63" spans="1:6" x14ac:dyDescent="0.35">
      <c r="A63" s="2">
        <v>33000000</v>
      </c>
      <c r="B63" s="6">
        <v>9.1804319999999997</v>
      </c>
      <c r="C63">
        <v>1.0145040000000001</v>
      </c>
      <c r="D63" s="6">
        <f t="shared" si="2"/>
        <v>9.0491826547751408</v>
      </c>
      <c r="E63">
        <v>0.56404299999999996</v>
      </c>
      <c r="F63">
        <f t="shared" si="3"/>
        <v>16.276120792209106</v>
      </c>
    </row>
    <row r="64" spans="1:6" x14ac:dyDescent="0.35">
      <c r="A64" s="2">
        <v>34000000</v>
      </c>
      <c r="B64" s="6">
        <v>7.4094749999999996</v>
      </c>
      <c r="C64">
        <v>1.081969</v>
      </c>
      <c r="D64" s="6">
        <f t="shared" si="2"/>
        <v>6.8481398265569533</v>
      </c>
      <c r="E64">
        <v>0.80766700000000002</v>
      </c>
      <c r="F64">
        <f t="shared" si="3"/>
        <v>9.1739231638781824</v>
      </c>
    </row>
    <row r="65" spans="1:6" x14ac:dyDescent="0.35">
      <c r="A65" s="2">
        <v>35000000</v>
      </c>
      <c r="B65" s="6">
        <v>8.2858409999999996</v>
      </c>
      <c r="C65">
        <v>1.1624030000000001</v>
      </c>
      <c r="D65" s="6">
        <f t="shared" si="2"/>
        <v>7.1281999444254698</v>
      </c>
      <c r="E65">
        <v>1.033277</v>
      </c>
      <c r="F65">
        <f t="shared" si="3"/>
        <v>8.0189929709071226</v>
      </c>
    </row>
    <row r="66" spans="1:6" x14ac:dyDescent="0.35">
      <c r="A66" s="2">
        <v>36000000</v>
      </c>
      <c r="B66" s="6">
        <v>10.00493</v>
      </c>
      <c r="C66">
        <v>1.1323209999999999</v>
      </c>
      <c r="D66" s="6">
        <f t="shared" si="2"/>
        <v>8.8357718350185159</v>
      </c>
      <c r="E66">
        <v>1.081855</v>
      </c>
      <c r="F66">
        <f t="shared" si="3"/>
        <v>9.2479398810376612</v>
      </c>
    </row>
    <row r="67" spans="1:6" x14ac:dyDescent="0.35">
      <c r="A67" s="2">
        <v>37000000</v>
      </c>
      <c r="B67" s="6">
        <v>9.4460809999999995</v>
      </c>
      <c r="C67">
        <v>1.200993</v>
      </c>
      <c r="D67" s="6">
        <f t="shared" si="2"/>
        <v>7.8652256924062005</v>
      </c>
      <c r="E67">
        <v>0.92883599999999999</v>
      </c>
      <c r="F67">
        <f t="shared" si="3"/>
        <v>10.169805003251382</v>
      </c>
    </row>
    <row r="68" spans="1:6" x14ac:dyDescent="0.35">
      <c r="A68" s="2">
        <v>38000000</v>
      </c>
      <c r="B68" s="6">
        <v>11.223677</v>
      </c>
      <c r="C68">
        <v>1.212243</v>
      </c>
      <c r="D68" s="6">
        <f t="shared" si="2"/>
        <v>9.258603266836765</v>
      </c>
      <c r="E68">
        <v>0.69468200000000002</v>
      </c>
      <c r="F68">
        <f t="shared" si="3"/>
        <v>16.156568041204466</v>
      </c>
    </row>
    <row r="69" spans="1:6" x14ac:dyDescent="0.35">
      <c r="A69" s="2">
        <v>39000000</v>
      </c>
      <c r="B69" s="6">
        <v>9.0509140000000006</v>
      </c>
      <c r="C69">
        <v>1.2506710000000001</v>
      </c>
      <c r="D69" s="6">
        <f t="shared" si="2"/>
        <v>7.236846460819832</v>
      </c>
      <c r="E69">
        <v>0.72290900000000002</v>
      </c>
      <c r="F69">
        <f t="shared" si="3"/>
        <v>12.520129089553457</v>
      </c>
    </row>
    <row r="70" spans="1:6" x14ac:dyDescent="0.35">
      <c r="A70" s="2">
        <v>40000000</v>
      </c>
      <c r="B70" s="6">
        <v>11.736215</v>
      </c>
      <c r="C70">
        <v>1.263007</v>
      </c>
      <c r="D70" s="6">
        <f t="shared" si="2"/>
        <v>9.2922802486447029</v>
      </c>
      <c r="E70">
        <v>0.74537900000000001</v>
      </c>
      <c r="F70">
        <f t="shared" si="3"/>
        <v>15.745298700392686</v>
      </c>
    </row>
  </sheetData>
  <mergeCells count="5">
    <mergeCell ref="C3:D3"/>
    <mergeCell ref="C38:D38"/>
    <mergeCell ref="A37:H37"/>
    <mergeCell ref="E38:F38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590C-628F-42C3-BA14-2549B4CA5D44}">
  <dimension ref="A1:E21"/>
  <sheetViews>
    <sheetView workbookViewId="0">
      <selection activeCell="C17" sqref="C17"/>
    </sheetView>
  </sheetViews>
  <sheetFormatPr defaultRowHeight="14.5" x14ac:dyDescent="0.35"/>
  <cols>
    <col min="1" max="4" width="22.6328125" customWidth="1"/>
    <col min="5" max="5" width="22.36328125" bestFit="1" customWidth="1"/>
  </cols>
  <sheetData>
    <row r="1" spans="1:5" ht="32" customHeight="1" x14ac:dyDescent="0.35">
      <c r="A1" s="1" t="s">
        <v>5</v>
      </c>
      <c r="B1" s="1"/>
    </row>
    <row r="3" spans="1:5" x14ac:dyDescent="0.35">
      <c r="B3" s="5" t="s">
        <v>10</v>
      </c>
      <c r="C3" s="7" t="s">
        <v>8</v>
      </c>
      <c r="D3" s="8"/>
      <c r="E3" s="3" t="s">
        <v>11</v>
      </c>
    </row>
    <row r="4" spans="1:5" x14ac:dyDescent="0.35">
      <c r="A4" s="3" t="s">
        <v>2</v>
      </c>
      <c r="B4" s="5" t="s">
        <v>1</v>
      </c>
      <c r="C4" s="3" t="s">
        <v>1</v>
      </c>
      <c r="D4" s="5" t="s">
        <v>9</v>
      </c>
      <c r="E4" s="3" t="s">
        <v>1</v>
      </c>
    </row>
    <row r="5" spans="1:5" x14ac:dyDescent="0.35">
      <c r="A5">
        <v>1</v>
      </c>
      <c r="B5" s="6">
        <f>'Testing 1'!$B$5</f>
        <v>1.981976</v>
      </c>
      <c r="C5">
        <v>1.9988060000000001</v>
      </c>
      <c r="D5" s="6">
        <f>B5/C5</f>
        <v>0.99157997324402658</v>
      </c>
      <c r="E5">
        <v>2.0506150000000001</v>
      </c>
    </row>
    <row r="6" spans="1:5" x14ac:dyDescent="0.35">
      <c r="A6">
        <v>4</v>
      </c>
      <c r="B6" s="6">
        <f>'Testing 1'!$B$5</f>
        <v>1.981976</v>
      </c>
      <c r="C6">
        <v>1.163114</v>
      </c>
      <c r="D6" s="6">
        <f t="shared" ref="D6:D10" si="0">B6/C6</f>
        <v>1.7040255727297582</v>
      </c>
      <c r="E6">
        <v>0.62085500000000005</v>
      </c>
    </row>
    <row r="7" spans="1:5" x14ac:dyDescent="0.35">
      <c r="A7">
        <v>8</v>
      </c>
      <c r="B7" s="6">
        <f>'Testing 1'!$B$5</f>
        <v>1.981976</v>
      </c>
      <c r="C7">
        <v>0.66360600000000003</v>
      </c>
      <c r="D7" s="6">
        <f t="shared" si="0"/>
        <v>2.9866758287296977</v>
      </c>
      <c r="E7">
        <v>0.39751399999999998</v>
      </c>
    </row>
    <row r="8" spans="1:5" x14ac:dyDescent="0.35">
      <c r="A8">
        <v>16</v>
      </c>
      <c r="B8" s="6">
        <f>'Testing 1'!$B$5</f>
        <v>1.981976</v>
      </c>
      <c r="C8">
        <v>0.445718</v>
      </c>
      <c r="D8" s="6">
        <f t="shared" si="0"/>
        <v>4.4467039697746111</v>
      </c>
      <c r="E8">
        <v>0.39396199999999998</v>
      </c>
    </row>
    <row r="9" spans="1:5" x14ac:dyDescent="0.35">
      <c r="A9">
        <v>32</v>
      </c>
      <c r="B9" s="6">
        <f>'Testing 1'!$B$5</f>
        <v>1.981976</v>
      </c>
      <c r="C9">
        <v>0.44677899999999998</v>
      </c>
      <c r="D9" s="6">
        <f t="shared" si="0"/>
        <v>4.4361440443709306</v>
      </c>
      <c r="E9">
        <v>0.40589199999999998</v>
      </c>
    </row>
    <row r="10" spans="1:5" x14ac:dyDescent="0.35">
      <c r="A10">
        <v>64</v>
      </c>
      <c r="B10" s="6">
        <f>'Testing 1'!$B$5</f>
        <v>1.981976</v>
      </c>
      <c r="C10">
        <v>0.44517200000000001</v>
      </c>
      <c r="D10" s="6">
        <f t="shared" si="0"/>
        <v>4.4521578176525027</v>
      </c>
      <c r="E10">
        <v>0.40879700000000002</v>
      </c>
    </row>
    <row r="11" spans="1:5" x14ac:dyDescent="0.35">
      <c r="A11" s="2"/>
      <c r="B11" s="2"/>
    </row>
    <row r="12" spans="1:5" ht="32" customHeight="1" x14ac:dyDescent="0.35">
      <c r="A12" s="1" t="s">
        <v>6</v>
      </c>
      <c r="B12" s="1"/>
    </row>
    <row r="14" spans="1:5" x14ac:dyDescent="0.35">
      <c r="B14" s="5" t="s">
        <v>10</v>
      </c>
      <c r="C14" s="7" t="s">
        <v>8</v>
      </c>
      <c r="D14" s="8"/>
      <c r="E14" s="3" t="s">
        <v>11</v>
      </c>
    </row>
    <row r="15" spans="1:5" x14ac:dyDescent="0.35">
      <c r="A15" s="3" t="s">
        <v>2</v>
      </c>
      <c r="B15" s="5" t="s">
        <v>1</v>
      </c>
      <c r="C15" s="3" t="s">
        <v>1</v>
      </c>
      <c r="D15" s="5" t="s">
        <v>9</v>
      </c>
      <c r="E15" s="3" t="s">
        <v>1</v>
      </c>
    </row>
    <row r="16" spans="1:5" x14ac:dyDescent="0.35">
      <c r="A16">
        <v>1</v>
      </c>
      <c r="B16" s="6">
        <f>'Testing 1'!$B$40</f>
        <v>1.909535</v>
      </c>
      <c r="C16">
        <v>1.7803150000000001</v>
      </c>
      <c r="D16" s="6">
        <f>B16/C16</f>
        <v>1.0725826609335987</v>
      </c>
      <c r="E16">
        <v>1.794886</v>
      </c>
    </row>
    <row r="17" spans="1:5" x14ac:dyDescent="0.35">
      <c r="A17">
        <v>4</v>
      </c>
      <c r="B17" s="6">
        <f>'Testing 1'!$B$40</f>
        <v>1.909535</v>
      </c>
      <c r="C17">
        <v>0.91214399999999995</v>
      </c>
      <c r="D17" s="6">
        <f t="shared" ref="D17:D21" si="1">B17/C17</f>
        <v>2.0934578312196321</v>
      </c>
      <c r="E17">
        <v>0.43836999999999998</v>
      </c>
    </row>
    <row r="18" spans="1:5" x14ac:dyDescent="0.35">
      <c r="A18">
        <v>8</v>
      </c>
      <c r="B18" s="6">
        <f>'Testing 1'!$B$40</f>
        <v>1.909535</v>
      </c>
      <c r="C18">
        <v>0.41222500000000001</v>
      </c>
      <c r="D18" s="6">
        <f t="shared" si="1"/>
        <v>4.6322639335314451</v>
      </c>
      <c r="E18">
        <v>0.225991</v>
      </c>
    </row>
    <row r="19" spans="1:5" x14ac:dyDescent="0.35">
      <c r="A19">
        <v>16</v>
      </c>
      <c r="B19" s="6">
        <f>'Testing 1'!$B$40</f>
        <v>1.909535</v>
      </c>
      <c r="C19">
        <v>0.248222</v>
      </c>
      <c r="D19" s="6">
        <f t="shared" si="1"/>
        <v>7.6928515602968313</v>
      </c>
      <c r="E19">
        <v>0.15532199999999999</v>
      </c>
    </row>
    <row r="20" spans="1:5" x14ac:dyDescent="0.35">
      <c r="A20">
        <v>32</v>
      </c>
      <c r="B20" s="6">
        <f>'Testing 1'!$B$40</f>
        <v>1.909535</v>
      </c>
      <c r="C20">
        <v>0.18618000000000001</v>
      </c>
      <c r="D20" s="6">
        <f t="shared" si="1"/>
        <v>10.256391663981093</v>
      </c>
      <c r="E20">
        <v>0.14178299999999999</v>
      </c>
    </row>
    <row r="21" spans="1:5" x14ac:dyDescent="0.35">
      <c r="A21">
        <v>64</v>
      </c>
      <c r="B21" s="6">
        <f>'Testing 1'!$B$40</f>
        <v>1.909535</v>
      </c>
      <c r="C21">
        <v>0.175349</v>
      </c>
      <c r="D21" s="6">
        <f t="shared" si="1"/>
        <v>10.889910977536227</v>
      </c>
      <c r="E21">
        <v>0.141709</v>
      </c>
    </row>
  </sheetData>
  <mergeCells count="2">
    <mergeCell ref="C3:D3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1</vt:lpstr>
      <vt:lpstr>Testing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2026-08-15T11:21:26Z</dcterms:modified>
</cp:coreProperties>
</file>
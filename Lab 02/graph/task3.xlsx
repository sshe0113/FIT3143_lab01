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MONASH\Year_3_sem_1\FIT3143\Week 04\FIT3143_lab01\Lab 02\graph\"/>
    </mc:Choice>
  </mc:AlternateContent>
  <xr:revisionPtr revIDLastSave="0" documentId="13_ncr:1_{19504735-2A8F-4393-A1AB-89FEAE38B0BE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9" i="1" l="1"/>
  <c r="AE40" i="1"/>
  <c r="AE41" i="1"/>
  <c r="AE42" i="1"/>
  <c r="AE38" i="1"/>
  <c r="Z38" i="1"/>
  <c r="Z39" i="1"/>
  <c r="Z40" i="1"/>
  <c r="Z41" i="1"/>
  <c r="Z42" i="1"/>
  <c r="U38" i="1"/>
  <c r="U39" i="1"/>
  <c r="U40" i="1"/>
  <c r="U41" i="1"/>
  <c r="U42" i="1"/>
  <c r="U43" i="1"/>
  <c r="U44" i="1"/>
  <c r="P38" i="1"/>
  <c r="O39" i="1"/>
  <c r="O40" i="1"/>
  <c r="O41" i="1"/>
  <c r="O42" i="1"/>
  <c r="O43" i="1"/>
  <c r="O44" i="1"/>
  <c r="O38" i="1"/>
  <c r="P39" i="1"/>
  <c r="P40" i="1"/>
  <c r="P41" i="1"/>
  <c r="P42" i="1"/>
  <c r="P43" i="1"/>
  <c r="P44" i="1"/>
  <c r="K38" i="1"/>
  <c r="K39" i="1"/>
  <c r="K40" i="1"/>
  <c r="K41" i="1"/>
  <c r="K42" i="1"/>
  <c r="K43" i="1"/>
  <c r="K44" i="1"/>
  <c r="K45" i="1"/>
  <c r="F38" i="1"/>
  <c r="F39" i="1"/>
  <c r="F40" i="1"/>
  <c r="F41" i="1"/>
  <c r="F42" i="1"/>
  <c r="F43" i="1"/>
  <c r="F44" i="1"/>
  <c r="F45" i="1"/>
  <c r="AD39" i="1"/>
  <c r="AD40" i="1"/>
  <c r="AD41" i="1"/>
  <c r="AD42" i="1"/>
  <c r="AD38" i="1"/>
  <c r="Y39" i="1"/>
  <c r="Y40" i="1"/>
  <c r="Y41" i="1"/>
  <c r="Y42" i="1"/>
  <c r="Y38" i="1"/>
  <c r="T39" i="1"/>
  <c r="T40" i="1"/>
  <c r="T41" i="1"/>
  <c r="T42" i="1"/>
  <c r="T43" i="1"/>
  <c r="T44" i="1"/>
  <c r="T38" i="1"/>
  <c r="J39" i="1"/>
  <c r="J40" i="1"/>
  <c r="J41" i="1"/>
  <c r="J42" i="1"/>
  <c r="J43" i="1"/>
  <c r="J44" i="1"/>
  <c r="J45" i="1"/>
  <c r="J38" i="1"/>
  <c r="E39" i="1"/>
  <c r="E40" i="1"/>
  <c r="E41" i="1"/>
  <c r="E42" i="1"/>
  <c r="E43" i="1"/>
  <c r="E44" i="1"/>
  <c r="E45" i="1"/>
  <c r="E38" i="1"/>
  <c r="H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4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4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N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4" i="1"/>
</calcChain>
</file>

<file path=xl/sharedStrings.xml><?xml version="1.0" encoding="utf-8"?>
<sst xmlns="http://schemas.openxmlformats.org/spreadsheetml/2006/main" count="69" uniqueCount="22">
  <si>
    <t>N</t>
  </si>
  <si>
    <t>Serial Code</t>
  </si>
  <si>
    <t xml:space="preserve">Comp </t>
  </si>
  <si>
    <t>Overall</t>
  </si>
  <si>
    <t>Comp</t>
  </si>
  <si>
    <t>Comm</t>
  </si>
  <si>
    <t>E Speedup</t>
  </si>
  <si>
    <t>Open MPI Block-Cyclic (Processes = 128)</t>
  </si>
  <si>
    <t>Open MPI Cyclic (Processes = 128)</t>
  </si>
  <si>
    <t>Hybrid Block-Cyclic (8 Processes x 16 Threads)</t>
  </si>
  <si>
    <t>Hybrid Cyclic (8 Processes x 16 Threads)</t>
  </si>
  <si>
    <t>T/P</t>
  </si>
  <si>
    <t>A Speedup</t>
  </si>
  <si>
    <t>Open MPI Block Cyclic (# of processes increase)</t>
  </si>
  <si>
    <t>Open MPI Cyclic (# of processes increase)</t>
  </si>
  <si>
    <t>Hybrid Block-Cyclic (# of processes increase, # of threads = 2)</t>
  </si>
  <si>
    <t>Hybrid Cyclic (# of processes increase, # of threads = 2)</t>
  </si>
  <si>
    <t xml:space="preserve"> E Speedup</t>
  </si>
  <si>
    <t>Hybrid Block-Cyclic (# of processes = 8, # of threads increase)</t>
  </si>
  <si>
    <t>Hybrid Cyclic (# of processes = 8, # of threads increase)</t>
  </si>
  <si>
    <t>Amdahl</t>
  </si>
  <si>
    <t>Gustafson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</si>
</sst>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1" xfId="0" applyNumberFormat="1" applyBorder="1"/>
    <xf numFmtId="0" fontId="0" fillId="0" borderId="5" xfId="0" applyBorder="1"/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" xfId="0" applyFill="1" applyBorder="1"/>
    <xf numFmtId="0" fontId="0" fillId="3" borderId="6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0" fontId="0" fillId="0" borderId="0" xfId="0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/>
    <xf numFmtId="0" fontId="0" fillId="5" borderId="6" xfId="0" applyFill="1" applyBorder="1" applyAlignment="1">
      <alignment horizontal="center" vertical="center"/>
    </xf>
    <xf numFmtId="0" fontId="0" fillId="5" borderId="0" xfId="0" applyFill="1"/>
    <xf numFmtId="3" fontId="0" fillId="6" borderId="1" xfId="0" applyNumberFormat="1" applyFill="1" applyBorder="1"/>
    <xf numFmtId="0" fontId="0" fillId="6" borderId="0" xfId="0" applyFill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"/>
  <sheetViews>
    <sheetView tabSelected="1" topLeftCell="M24" zoomScale="88" zoomScaleNormal="145" workbookViewId="0">
      <selection activeCell="T54" sqref="T54"/>
    </sheetView>
  </sheetViews>
  <sheetFormatPr defaultRowHeight="14.4" x14ac:dyDescent="0.3"/>
  <cols>
    <col min="1" max="43" width="12.6640625" customWidth="1"/>
  </cols>
  <sheetData>
    <row r="1" spans="1:27" ht="30" customHeight="1" x14ac:dyDescent="0.3"/>
    <row r="2" spans="1:27" x14ac:dyDescent="0.3">
      <c r="A2" s="29" t="s">
        <v>0</v>
      </c>
      <c r="B2" s="26" t="s">
        <v>1</v>
      </c>
      <c r="C2" s="28"/>
      <c r="D2" s="26" t="s">
        <v>7</v>
      </c>
      <c r="E2" s="27"/>
      <c r="F2" s="27"/>
      <c r="G2" s="27"/>
      <c r="H2" s="27"/>
      <c r="I2" s="28"/>
      <c r="J2" s="26" t="s">
        <v>8</v>
      </c>
      <c r="K2" s="27"/>
      <c r="L2" s="27"/>
      <c r="M2" s="27"/>
      <c r="N2" s="27"/>
      <c r="O2" s="28"/>
      <c r="P2" s="26" t="s">
        <v>9</v>
      </c>
      <c r="Q2" s="27"/>
      <c r="R2" s="27"/>
      <c r="S2" s="27"/>
      <c r="T2" s="27"/>
      <c r="U2" s="28"/>
      <c r="V2" s="26" t="s">
        <v>10</v>
      </c>
      <c r="W2" s="27"/>
      <c r="X2" s="27"/>
      <c r="Y2" s="27"/>
      <c r="Z2" s="27"/>
      <c r="AA2" s="27"/>
    </row>
    <row r="3" spans="1:27" ht="15" thickBot="1" x14ac:dyDescent="0.35">
      <c r="A3" s="30"/>
      <c r="B3" s="2" t="s">
        <v>2</v>
      </c>
      <c r="C3" s="1" t="s">
        <v>3</v>
      </c>
      <c r="D3" s="2" t="s">
        <v>4</v>
      </c>
      <c r="E3" s="6" t="s">
        <v>5</v>
      </c>
      <c r="F3" s="6" t="s">
        <v>3</v>
      </c>
      <c r="G3" s="7" t="s">
        <v>6</v>
      </c>
      <c r="H3" s="12" t="s">
        <v>20</v>
      </c>
      <c r="I3" s="20" t="s">
        <v>21</v>
      </c>
      <c r="J3" s="6" t="s">
        <v>4</v>
      </c>
      <c r="K3" s="6" t="s">
        <v>5</v>
      </c>
      <c r="L3" s="6" t="s">
        <v>3</v>
      </c>
      <c r="M3" s="7" t="s">
        <v>17</v>
      </c>
      <c r="N3" s="12" t="s">
        <v>20</v>
      </c>
      <c r="O3" s="20" t="s">
        <v>21</v>
      </c>
      <c r="P3" s="6" t="s">
        <v>4</v>
      </c>
      <c r="Q3" s="6" t="s">
        <v>5</v>
      </c>
      <c r="R3" s="6" t="s">
        <v>3</v>
      </c>
      <c r="S3" s="7" t="s">
        <v>6</v>
      </c>
      <c r="T3" s="12" t="s">
        <v>20</v>
      </c>
      <c r="U3" s="20" t="s">
        <v>21</v>
      </c>
      <c r="V3" s="6" t="s">
        <v>4</v>
      </c>
      <c r="W3" s="6" t="s">
        <v>5</v>
      </c>
      <c r="X3" s="6" t="s">
        <v>3</v>
      </c>
      <c r="Y3" s="7" t="s">
        <v>6</v>
      </c>
      <c r="Z3" s="12" t="s">
        <v>20</v>
      </c>
      <c r="AA3" s="22" t="s">
        <v>21</v>
      </c>
    </row>
    <row r="4" spans="1:27" x14ac:dyDescent="0.3">
      <c r="A4" s="3">
        <v>10000000</v>
      </c>
      <c r="B4">
        <v>1.748899</v>
      </c>
      <c r="C4" s="4">
        <v>1.833523</v>
      </c>
      <c r="D4">
        <v>3.1966000000000001E-2</v>
      </c>
      <c r="E4">
        <v>0.209587</v>
      </c>
      <c r="F4">
        <v>0.33291999999999999</v>
      </c>
      <c r="G4" s="8">
        <f>C4/F4</f>
        <v>5.5073981737354325</v>
      </c>
      <c r="H4" s="13">
        <f t="shared" ref="H4:H34" si="0" xml:space="preserve"> 1 / (((F4-E4-D4)/F4) + ((D4/F4)/128) + (E4/F4))</f>
        <v>1.1052983811466066</v>
      </c>
      <c r="I4" s="21">
        <f xml:space="preserve"> ((F4-E4-D4)/F4) + (D4/F4)*128</f>
        <v>12.564625135167608</v>
      </c>
      <c r="J4">
        <v>2.0375000000000001E-2</v>
      </c>
      <c r="K4">
        <v>0.15188699999999999</v>
      </c>
      <c r="L4">
        <v>0.31178899999999998</v>
      </c>
      <c r="M4" s="8">
        <f t="shared" ref="M4:M34" si="1">C4/L4</f>
        <v>5.880653262302391</v>
      </c>
      <c r="N4" s="13">
        <f xml:space="preserve"> 1 / (((L4-K4-J4)/L4) + ((J4/L4)/128) + (K4/L4))</f>
        <v>1.0693336072068313</v>
      </c>
      <c r="O4" s="21">
        <f xml:space="preserve"> ((L4-J4-K4)/L4) + (J4/L4)*128</f>
        <v>8.8121357713068775</v>
      </c>
      <c r="P4">
        <v>3.2042555E-2</v>
      </c>
      <c r="Q4">
        <v>9.6071925000000002E-2</v>
      </c>
      <c r="R4">
        <v>0.191363121</v>
      </c>
      <c r="S4" s="8">
        <f t="shared" ref="S4:S34" si="2">C4/R4</f>
        <v>9.5813811481471394</v>
      </c>
      <c r="T4" s="13">
        <f xml:space="preserve"> 1 / (((R4-Q4-P4)/R4) + ((P4/R4)/128) + (Q4/R4))</f>
        <v>1.1992357180770348</v>
      </c>
      <c r="U4" s="21">
        <f xml:space="preserve"> ((R4-P4-Q4)/R4) + (P4/R4)*128</f>
        <v>21.763313951176624</v>
      </c>
      <c r="V4">
        <v>3.6932197999999999E-2</v>
      </c>
      <c r="W4">
        <v>9.7944050000000005E-2</v>
      </c>
      <c r="X4">
        <v>0.20727991900000001</v>
      </c>
      <c r="Y4" s="8">
        <f t="shared" ref="Y4:Y34" si="3">C4/X4</f>
        <v>8.8456373817861245</v>
      </c>
      <c r="Z4" s="13">
        <f xml:space="preserve"> 1 / (((X4-W4-V4)/X4) + ((V4/X4)/128) + (W4/X4))</f>
        <v>1.2147472438462317</v>
      </c>
      <c r="AA4" s="23">
        <f xml:space="preserve"> ((X4-V4-W4)/X4) + (V4/X4)*128</f>
        <v>23.155764620884476</v>
      </c>
    </row>
    <row r="5" spans="1:27" x14ac:dyDescent="0.3">
      <c r="A5" s="3">
        <v>11000000</v>
      </c>
      <c r="B5">
        <v>2.000051</v>
      </c>
      <c r="C5" s="5">
        <v>2.1030500000000001</v>
      </c>
      <c r="D5">
        <v>3.5369999999999999E-2</v>
      </c>
      <c r="E5">
        <v>0.19214999999999999</v>
      </c>
      <c r="F5">
        <v>0.32409900000000003</v>
      </c>
      <c r="G5" s="8">
        <f t="shared" ref="G5:G34" si="4">C5/F5</f>
        <v>6.488912338513849</v>
      </c>
      <c r="H5" s="13">
        <f t="shared" si="0"/>
        <v>1.1214291518522499</v>
      </c>
      <c r="I5" s="21">
        <f t="shared" ref="I5:I34" si="5" xml:space="preserve"> ((F5-E5-D5)/F5) + (D5/F5)*128</f>
        <v>14.267057288050873</v>
      </c>
      <c r="J5">
        <v>2.3448E-2</v>
      </c>
      <c r="K5">
        <v>0.18487500000000001</v>
      </c>
      <c r="L5">
        <v>0.30166599999999999</v>
      </c>
      <c r="M5" s="8">
        <f t="shared" si="1"/>
        <v>6.9714518706118689</v>
      </c>
      <c r="N5" s="13">
        <f t="shared" ref="N5:N34" si="6" xml:space="preserve"> 1 / (((L5-K5-J5)/L5) + ((J5/L5)/128) + (K5/L5))</f>
        <v>1.0835657804081744</v>
      </c>
      <c r="O5" s="21">
        <f t="shared" ref="O5:O34" si="7" xml:space="preserve"> ((L5-J5-K5)/L5) + (J5/L5)*128</f>
        <v>10.25865361028422</v>
      </c>
      <c r="P5">
        <v>3.9479701999999998E-2</v>
      </c>
      <c r="Q5">
        <v>9.4542818000000001E-2</v>
      </c>
      <c r="R5">
        <v>0.201723337</v>
      </c>
      <c r="S5" s="8">
        <f t="shared" si="2"/>
        <v>10.425417461738698</v>
      </c>
      <c r="T5" s="13">
        <f t="shared" ref="T5:T34" si="8" xml:space="preserve"> 1 / (((R5-Q5-P5)/R5) + ((P5/R5)/128) + (Q5/R5))</f>
        <v>1.2409767330967061</v>
      </c>
      <c r="U5" s="21">
        <f t="shared" ref="U5:U34" si="9" xml:space="preserve"> ((R5-P5-Q5)/R5) + (P5/R5)*128</f>
        <v>25.386763619719414</v>
      </c>
      <c r="V5">
        <v>4.3105940000000002E-2</v>
      </c>
      <c r="W5">
        <v>0.11681114300000001</v>
      </c>
      <c r="X5">
        <v>0.22626353199999999</v>
      </c>
      <c r="Y5" s="8">
        <f t="shared" si="3"/>
        <v>9.2946927037274403</v>
      </c>
      <c r="Z5" s="13">
        <f t="shared" ref="Z5:Z34" si="10" xml:space="preserve"> 1 / (((X5-W5-V5)/X5) + ((V5/X5)/128) + (W5/X5))</f>
        <v>1.2330816898490837</v>
      </c>
      <c r="AA5" s="23">
        <f t="shared" ref="AA5:AA34" si="11" xml:space="preserve"> ((X5-V5-W5)/X5) + (V5/X5)*128</f>
        <v>24.678774876545287</v>
      </c>
    </row>
    <row r="6" spans="1:27" x14ac:dyDescent="0.3">
      <c r="A6" s="3">
        <v>12000000</v>
      </c>
      <c r="B6">
        <v>2.2614899999999998</v>
      </c>
      <c r="C6" s="5">
        <v>2.3671989999999998</v>
      </c>
      <c r="D6">
        <v>3.9136999999999998E-2</v>
      </c>
      <c r="E6">
        <v>0.20385600000000001</v>
      </c>
      <c r="F6">
        <v>0.34335500000000002</v>
      </c>
      <c r="G6" s="8">
        <f t="shared" si="4"/>
        <v>6.8943192905302082</v>
      </c>
      <c r="H6" s="13">
        <f t="shared" si="0"/>
        <v>1.1275146558890456</v>
      </c>
      <c r="I6" s="21">
        <f t="shared" si="5"/>
        <v>14.882258886575118</v>
      </c>
      <c r="J6">
        <v>3.6087000000000001E-2</v>
      </c>
      <c r="K6">
        <v>0.19300999999999999</v>
      </c>
      <c r="L6">
        <v>0.32964399999999999</v>
      </c>
      <c r="M6" s="8">
        <f t="shared" si="1"/>
        <v>7.1810771620293403</v>
      </c>
      <c r="N6" s="13">
        <f t="shared" si="6"/>
        <v>1.1218527114517431</v>
      </c>
      <c r="O6" s="21">
        <f t="shared" si="7"/>
        <v>14.317515258885344</v>
      </c>
      <c r="P6">
        <v>3.1862260000000003E-2</v>
      </c>
      <c r="Q6">
        <v>0.16121016299999999</v>
      </c>
      <c r="R6">
        <v>0.27608339900000001</v>
      </c>
      <c r="S6" s="8">
        <f t="shared" si="2"/>
        <v>8.5742170973489049</v>
      </c>
      <c r="T6" s="13">
        <f t="shared" si="8"/>
        <v>1.1293137315789588</v>
      </c>
      <c r="U6" s="21">
        <f t="shared" si="9"/>
        <v>15.072910110035266</v>
      </c>
      <c r="V6">
        <v>4.9355243E-2</v>
      </c>
      <c r="W6">
        <v>0.112950675</v>
      </c>
      <c r="X6">
        <v>0.24267087100000001</v>
      </c>
      <c r="Y6" s="8">
        <f t="shared" si="3"/>
        <v>9.754771927282528</v>
      </c>
      <c r="Z6" s="13">
        <f t="shared" si="10"/>
        <v>1.2528102622006212</v>
      </c>
      <c r="AA6" s="23">
        <f t="shared" si="11"/>
        <v>26.364252250942798</v>
      </c>
    </row>
    <row r="7" spans="1:27" x14ac:dyDescent="0.3">
      <c r="A7" s="3">
        <v>13000000</v>
      </c>
      <c r="B7">
        <v>2.531981</v>
      </c>
      <c r="C7" s="5">
        <v>2.6392120000000001</v>
      </c>
      <c r="D7">
        <v>4.3555999999999997E-2</v>
      </c>
      <c r="E7">
        <v>0.225022</v>
      </c>
      <c r="F7">
        <v>0.49131399999999997</v>
      </c>
      <c r="G7" s="8">
        <f t="shared" si="4"/>
        <v>5.3717419002918705</v>
      </c>
      <c r="H7" s="13">
        <f t="shared" si="0"/>
        <v>1.0964425005814502</v>
      </c>
      <c r="I7" s="21">
        <f t="shared" si="5"/>
        <v>11.80081170086747</v>
      </c>
      <c r="J7">
        <v>3.9685999999999999E-2</v>
      </c>
      <c r="K7">
        <v>0.187282</v>
      </c>
      <c r="L7">
        <v>0.326434</v>
      </c>
      <c r="M7" s="8">
        <f t="shared" si="1"/>
        <v>8.0849788931300051</v>
      </c>
      <c r="N7" s="13">
        <f t="shared" si="6"/>
        <v>1.1371706996325601</v>
      </c>
      <c r="O7" s="21">
        <f t="shared" si="7"/>
        <v>15.866221043151143</v>
      </c>
      <c r="P7">
        <v>3.9278384999999999E-2</v>
      </c>
      <c r="Q7">
        <v>0.180681908</v>
      </c>
      <c r="R7">
        <v>0.320166746</v>
      </c>
      <c r="S7" s="8">
        <f t="shared" si="2"/>
        <v>8.2432421011019059</v>
      </c>
      <c r="T7" s="13">
        <f t="shared" si="8"/>
        <v>1.1385924061879691</v>
      </c>
      <c r="U7" s="21">
        <f t="shared" si="9"/>
        <v>16.016153448365934</v>
      </c>
      <c r="V7">
        <v>5.0299272999999999E-2</v>
      </c>
      <c r="W7">
        <v>0.119371769</v>
      </c>
      <c r="X7">
        <v>0.26367890599999999</v>
      </c>
      <c r="Y7" s="8">
        <f t="shared" si="3"/>
        <v>10.009188979265563</v>
      </c>
      <c r="Z7" s="13">
        <f t="shared" si="10"/>
        <v>1.2334551333851638</v>
      </c>
      <c r="AA7" s="23">
        <f t="shared" si="11"/>
        <v>24.77374814350906</v>
      </c>
    </row>
    <row r="8" spans="1:27" x14ac:dyDescent="0.3">
      <c r="A8" s="3">
        <v>14000000</v>
      </c>
      <c r="B8">
        <v>2.8117640000000002</v>
      </c>
      <c r="C8" s="5">
        <v>2.9274079999999998</v>
      </c>
      <c r="D8">
        <v>5.3269999999999998E-2</v>
      </c>
      <c r="E8">
        <v>0.237178</v>
      </c>
      <c r="F8">
        <v>0.38534499999999999</v>
      </c>
      <c r="G8" s="8">
        <f t="shared" si="4"/>
        <v>7.596849576353657</v>
      </c>
      <c r="H8" s="13">
        <f t="shared" si="0"/>
        <v>1.1589631021688311</v>
      </c>
      <c r="I8" s="21">
        <f t="shared" si="5"/>
        <v>17.940954209863889</v>
      </c>
      <c r="J8">
        <v>4.8370999999999997E-2</v>
      </c>
      <c r="K8">
        <v>0.23468700000000001</v>
      </c>
      <c r="L8">
        <v>0.37656800000000001</v>
      </c>
      <c r="M8" s="8">
        <f t="shared" si="1"/>
        <v>7.7739159992351974</v>
      </c>
      <c r="N8" s="13">
        <f t="shared" si="6"/>
        <v>1.1460644187694362</v>
      </c>
      <c r="O8" s="21">
        <f t="shared" si="7"/>
        <v>16.690207346349133</v>
      </c>
      <c r="P8">
        <v>4.5631379E-2</v>
      </c>
      <c r="Q8">
        <v>0.29327454600000002</v>
      </c>
      <c r="R8">
        <v>0.432450791</v>
      </c>
      <c r="S8" s="8">
        <f t="shared" si="2"/>
        <v>6.7693436130170008</v>
      </c>
      <c r="T8" s="13">
        <f t="shared" si="8"/>
        <v>1.1169362117209549</v>
      </c>
      <c r="U8" s="21">
        <f t="shared" si="9"/>
        <v>13.722628103598497</v>
      </c>
      <c r="V8">
        <v>5.4722945000000002E-2</v>
      </c>
      <c r="W8">
        <v>0.14568326600000001</v>
      </c>
      <c r="X8">
        <v>0.30845787000000002</v>
      </c>
      <c r="Y8" s="8">
        <f t="shared" si="3"/>
        <v>9.4904629925636179</v>
      </c>
      <c r="Z8" s="13">
        <f t="shared" si="10"/>
        <v>1.2136248781744443</v>
      </c>
      <c r="AA8" s="23">
        <f t="shared" si="11"/>
        <v>23.05854157327871</v>
      </c>
    </row>
    <row r="9" spans="1:27" x14ac:dyDescent="0.3">
      <c r="A9" s="3">
        <v>15000000</v>
      </c>
      <c r="B9">
        <v>3.099081</v>
      </c>
      <c r="C9" s="5">
        <v>3.230092</v>
      </c>
      <c r="D9">
        <v>3.6086E-2</v>
      </c>
      <c r="E9">
        <v>0.226524</v>
      </c>
      <c r="F9">
        <v>0.39768700000000001</v>
      </c>
      <c r="G9" s="8">
        <f t="shared" si="4"/>
        <v>8.1221966018501988</v>
      </c>
      <c r="H9" s="13">
        <f t="shared" si="0"/>
        <v>1.0989382918085515</v>
      </c>
      <c r="I9" s="21">
        <f t="shared" si="5"/>
        <v>11.954338462157425</v>
      </c>
      <c r="J9">
        <v>3.3713E-2</v>
      </c>
      <c r="K9">
        <v>0.22064700000000001</v>
      </c>
      <c r="L9">
        <v>0.39144299999999999</v>
      </c>
      <c r="M9" s="8">
        <f t="shared" si="1"/>
        <v>8.2517556834583843</v>
      </c>
      <c r="N9" s="13">
        <f t="shared" si="6"/>
        <v>1.093436411937869</v>
      </c>
      <c r="O9" s="21">
        <f t="shared" si="7"/>
        <v>11.374189856505289</v>
      </c>
      <c r="P9">
        <v>4.0807138E-2</v>
      </c>
      <c r="Q9">
        <v>0.14923683700000001</v>
      </c>
      <c r="R9">
        <v>0.28767258699999998</v>
      </c>
      <c r="S9" s="8">
        <f t="shared" si="2"/>
        <v>11.228362193579468</v>
      </c>
      <c r="T9" s="13">
        <f t="shared" si="8"/>
        <v>1.1637981847701635</v>
      </c>
      <c r="U9" s="21">
        <f t="shared" si="9"/>
        <v>18.496521797539231</v>
      </c>
      <c r="V9">
        <v>6.1214159999999997E-2</v>
      </c>
      <c r="W9">
        <v>0.23053153100000001</v>
      </c>
      <c r="X9">
        <v>0.41651697199999999</v>
      </c>
      <c r="Y9" s="8">
        <f t="shared" si="3"/>
        <v>7.7550069196219935</v>
      </c>
      <c r="Z9" s="13">
        <f t="shared" si="10"/>
        <v>1.1707115226638403</v>
      </c>
      <c r="AA9" s="23">
        <f t="shared" si="11"/>
        <v>19.111307092187349</v>
      </c>
    </row>
    <row r="10" spans="1:27" x14ac:dyDescent="0.3">
      <c r="A10" s="3">
        <v>16000000</v>
      </c>
      <c r="B10">
        <v>3.3963390000000002</v>
      </c>
      <c r="C10" s="5">
        <v>3.5315159999999999</v>
      </c>
      <c r="D10">
        <v>5.8855999999999999E-2</v>
      </c>
      <c r="E10">
        <v>0.261596</v>
      </c>
      <c r="F10">
        <v>0.43686700000000001</v>
      </c>
      <c r="G10" s="8">
        <f t="shared" si="4"/>
        <v>8.0837325776494904</v>
      </c>
      <c r="H10" s="13">
        <f t="shared" si="0"/>
        <v>1.1542950884752836</v>
      </c>
      <c r="I10" s="21">
        <f t="shared" si="5"/>
        <v>17.511011360436932</v>
      </c>
      <c r="J10">
        <v>0.13430800000000001</v>
      </c>
      <c r="K10">
        <v>0.30008699999999999</v>
      </c>
      <c r="L10">
        <v>1.3250759999999999</v>
      </c>
      <c r="M10" s="8">
        <f t="shared" si="1"/>
        <v>2.6651422258044066</v>
      </c>
      <c r="N10" s="13">
        <f t="shared" si="6"/>
        <v>1.1118113664287832</v>
      </c>
      <c r="O10" s="21">
        <f t="shared" si="7"/>
        <v>13.64608897904724</v>
      </c>
      <c r="P10">
        <v>4.6109912000000003E-2</v>
      </c>
      <c r="Q10">
        <v>0.138563203</v>
      </c>
      <c r="R10">
        <v>0.279632198</v>
      </c>
      <c r="S10" s="8">
        <f t="shared" si="2"/>
        <v>12.629146519100065</v>
      </c>
      <c r="T10" s="13">
        <f t="shared" si="8"/>
        <v>1.1956096521177728</v>
      </c>
      <c r="U10" s="21">
        <f t="shared" si="9"/>
        <v>21.446127670176239</v>
      </c>
      <c r="V10">
        <v>6.1769676000000003E-2</v>
      </c>
      <c r="W10">
        <v>0.141275765</v>
      </c>
      <c r="X10">
        <v>0.32795127499999999</v>
      </c>
      <c r="Y10" s="8">
        <f t="shared" si="3"/>
        <v>10.768416741175956</v>
      </c>
      <c r="Z10" s="13">
        <f t="shared" si="10"/>
        <v>1.2298287743361773</v>
      </c>
      <c r="AA10" s="23">
        <f t="shared" si="11"/>
        <v>24.489687872077951</v>
      </c>
    </row>
    <row r="11" spans="1:27" x14ac:dyDescent="0.3">
      <c r="A11" s="3">
        <v>17000000</v>
      </c>
      <c r="B11">
        <v>3.7004570000000001</v>
      </c>
      <c r="C11" s="5">
        <v>3.8283680000000002</v>
      </c>
      <c r="D11">
        <v>6.3839999999999994E-2</v>
      </c>
      <c r="E11">
        <v>0.281005</v>
      </c>
      <c r="F11">
        <v>0.45448100000000002</v>
      </c>
      <c r="G11" s="8">
        <f t="shared" si="4"/>
        <v>8.4236040670567078</v>
      </c>
      <c r="H11" s="13">
        <f t="shared" si="0"/>
        <v>1.1619402016798344</v>
      </c>
      <c r="I11" s="21">
        <f t="shared" si="5"/>
        <v>18.22112695580233</v>
      </c>
      <c r="J11">
        <v>4.9402000000000001E-2</v>
      </c>
      <c r="K11">
        <v>0.25702000000000003</v>
      </c>
      <c r="L11">
        <v>0.43001499999999998</v>
      </c>
      <c r="M11" s="8">
        <f t="shared" si="1"/>
        <v>8.9028708300873234</v>
      </c>
      <c r="N11" s="13">
        <f t="shared" si="6"/>
        <v>1.1286513951625441</v>
      </c>
      <c r="O11" s="21">
        <f t="shared" si="7"/>
        <v>14.992614211132169</v>
      </c>
      <c r="P11">
        <v>4.7235435999999999E-2</v>
      </c>
      <c r="Q11">
        <v>0.16670629200000001</v>
      </c>
      <c r="R11">
        <v>0.32314131800000001</v>
      </c>
      <c r="S11" s="8">
        <f t="shared" si="2"/>
        <v>11.847349090777676</v>
      </c>
      <c r="T11" s="13">
        <f t="shared" si="8"/>
        <v>1.1696368640655521</v>
      </c>
      <c r="U11" s="21">
        <f t="shared" si="9"/>
        <v>19.04843192475931</v>
      </c>
      <c r="V11">
        <v>6.6079265999999998E-2</v>
      </c>
      <c r="W11">
        <v>0.17803950900000001</v>
      </c>
      <c r="X11">
        <v>0.36841774199999999</v>
      </c>
      <c r="Y11" s="8">
        <f t="shared" si="3"/>
        <v>10.391377948350817</v>
      </c>
      <c r="Z11" s="13">
        <f t="shared" si="10"/>
        <v>1.2164834072154185</v>
      </c>
      <c r="AA11" s="23">
        <f t="shared" si="11"/>
        <v>23.295417230476378</v>
      </c>
    </row>
    <row r="12" spans="1:27" x14ac:dyDescent="0.3">
      <c r="A12" s="3">
        <v>18000000</v>
      </c>
      <c r="B12">
        <v>4.0108110000000003</v>
      </c>
      <c r="C12" s="5">
        <v>4.154458</v>
      </c>
      <c r="D12">
        <v>7.2265999999999997E-2</v>
      </c>
      <c r="E12">
        <v>0.30298700000000001</v>
      </c>
      <c r="F12">
        <v>1.312041</v>
      </c>
      <c r="G12" s="8">
        <f t="shared" si="4"/>
        <v>3.1664086716802293</v>
      </c>
      <c r="H12" s="13">
        <f t="shared" si="0"/>
        <v>1.0578078964338056</v>
      </c>
      <c r="I12" s="21">
        <f t="shared" si="5"/>
        <v>7.7641140787521117</v>
      </c>
      <c r="J12">
        <v>7.7179999999999999E-2</v>
      </c>
      <c r="K12">
        <v>0.26080999999999999</v>
      </c>
      <c r="L12">
        <v>1.212539</v>
      </c>
      <c r="M12" s="8">
        <f t="shared" si="1"/>
        <v>3.4262469083468656</v>
      </c>
      <c r="N12" s="13">
        <f t="shared" si="6"/>
        <v>1.0674116153151365</v>
      </c>
      <c r="O12" s="21">
        <f t="shared" si="7"/>
        <v>8.8686541216406223</v>
      </c>
      <c r="P12">
        <v>5.5211121000000002E-2</v>
      </c>
      <c r="Q12">
        <v>0.18428568200000001</v>
      </c>
      <c r="R12">
        <v>0.35068897100000002</v>
      </c>
      <c r="S12" s="8">
        <f t="shared" si="2"/>
        <v>11.846560181671638</v>
      </c>
      <c r="T12" s="13">
        <f t="shared" si="8"/>
        <v>1.1851236343631388</v>
      </c>
      <c r="U12" s="21">
        <f t="shared" si="9"/>
        <v>20.468894803081788</v>
      </c>
      <c r="V12">
        <v>7.0747381999999998E-2</v>
      </c>
      <c r="W12">
        <v>0.17120385199999999</v>
      </c>
      <c r="X12">
        <v>0.36706013999999998</v>
      </c>
      <c r="Y12" s="8">
        <f t="shared" si="3"/>
        <v>11.318194342758112</v>
      </c>
      <c r="Z12" s="13">
        <f t="shared" si="10"/>
        <v>1.2364527865894686</v>
      </c>
      <c r="AA12" s="23">
        <f t="shared" si="11"/>
        <v>25.011633793851875</v>
      </c>
    </row>
    <row r="13" spans="1:27" x14ac:dyDescent="0.3">
      <c r="A13" s="3">
        <v>19000000</v>
      </c>
      <c r="B13">
        <v>4.3306940000000003</v>
      </c>
      <c r="C13" s="5">
        <v>4.4743740000000001</v>
      </c>
      <c r="D13">
        <v>8.0704999999999999E-2</v>
      </c>
      <c r="E13">
        <v>0.29413800000000001</v>
      </c>
      <c r="F13">
        <v>0.48004599999999997</v>
      </c>
      <c r="G13" s="8">
        <f t="shared" si="4"/>
        <v>9.320719264403829</v>
      </c>
      <c r="H13" s="13">
        <f t="shared" si="0"/>
        <v>1.2002004908435568</v>
      </c>
      <c r="I13" s="21">
        <f t="shared" si="5"/>
        <v>21.738422984463991</v>
      </c>
      <c r="J13">
        <v>4.7301999999999997E-2</v>
      </c>
      <c r="K13">
        <v>0.27312700000000001</v>
      </c>
      <c r="L13">
        <v>0.47301300000000002</v>
      </c>
      <c r="M13" s="8">
        <f t="shared" si="1"/>
        <v>9.4593045011447892</v>
      </c>
      <c r="N13" s="13">
        <f t="shared" si="6"/>
        <v>1.1101492510494</v>
      </c>
      <c r="O13" s="21">
        <f t="shared" si="7"/>
        <v>13.122768296008775</v>
      </c>
      <c r="P13">
        <v>5.7462266999999997E-2</v>
      </c>
      <c r="Q13">
        <v>0.20992863</v>
      </c>
      <c r="R13">
        <v>0.38425493799999999</v>
      </c>
      <c r="S13" s="8">
        <f t="shared" si="2"/>
        <v>11.644284972077575</v>
      </c>
      <c r="T13" s="13">
        <f t="shared" si="8"/>
        <v>1.174224010385563</v>
      </c>
      <c r="U13" s="21">
        <f t="shared" si="9"/>
        <v>19.445512544070414</v>
      </c>
      <c r="V13">
        <v>7.1290457000000002E-2</v>
      </c>
      <c r="W13">
        <v>0.13826316599999999</v>
      </c>
      <c r="X13">
        <v>0.34632089900000002</v>
      </c>
      <c r="Y13" s="8">
        <f t="shared" si="3"/>
        <v>12.919734306880509</v>
      </c>
      <c r="Z13" s="13">
        <f t="shared" si="10"/>
        <v>1.256664494238686</v>
      </c>
      <c r="AA13" s="23">
        <f t="shared" si="11"/>
        <v>26.7438257371814</v>
      </c>
    </row>
    <row r="14" spans="1:27" x14ac:dyDescent="0.3">
      <c r="A14" s="3">
        <v>20000000</v>
      </c>
      <c r="B14">
        <v>4.6921489999999997</v>
      </c>
      <c r="C14" s="5">
        <v>4.8425269999999996</v>
      </c>
      <c r="D14">
        <v>8.2761000000000001E-2</v>
      </c>
      <c r="E14">
        <v>0.32207599999999997</v>
      </c>
      <c r="F14">
        <v>0.54203900000000005</v>
      </c>
      <c r="G14" s="8">
        <f t="shared" si="4"/>
        <v>8.9339088146793841</v>
      </c>
      <c r="H14" s="13">
        <f t="shared" si="0"/>
        <v>1.1785389061334699</v>
      </c>
      <c r="I14" s="21">
        <f t="shared" si="5"/>
        <v>19.796748942419271</v>
      </c>
      <c r="J14">
        <v>4.9429000000000001E-2</v>
      </c>
      <c r="K14">
        <v>0.29475299999999999</v>
      </c>
      <c r="L14">
        <v>0.51332999999999995</v>
      </c>
      <c r="M14" s="8">
        <f t="shared" si="1"/>
        <v>9.4335554126974852</v>
      </c>
      <c r="N14" s="13">
        <f t="shared" si="6"/>
        <v>1.105630393716631</v>
      </c>
      <c r="O14" s="21">
        <f t="shared" si="7"/>
        <v>12.654744511327996</v>
      </c>
      <c r="P14">
        <v>6.0165165E-2</v>
      </c>
      <c r="Q14">
        <v>0.174955837</v>
      </c>
      <c r="R14">
        <v>0.35899505399999998</v>
      </c>
      <c r="S14" s="8">
        <f t="shared" si="2"/>
        <v>13.489118989366354</v>
      </c>
      <c r="T14" s="13">
        <f t="shared" si="8"/>
        <v>1.1994491772108593</v>
      </c>
      <c r="U14" s="21">
        <f t="shared" si="9"/>
        <v>21.796999944183074</v>
      </c>
      <c r="V14">
        <v>7.2542786999999997E-2</v>
      </c>
      <c r="W14">
        <v>0.68711808799999996</v>
      </c>
      <c r="X14">
        <v>0.89151964699999997</v>
      </c>
      <c r="Y14" s="8">
        <f t="shared" si="3"/>
        <v>5.4317670017652455</v>
      </c>
      <c r="Z14" s="13">
        <f t="shared" si="10"/>
        <v>1.0878245482370819</v>
      </c>
      <c r="AA14" s="23">
        <f t="shared" si="11"/>
        <v>10.563239452646634</v>
      </c>
    </row>
    <row r="15" spans="1:27" x14ac:dyDescent="0.3">
      <c r="A15" s="3">
        <v>21000000</v>
      </c>
      <c r="B15">
        <v>4.991924</v>
      </c>
      <c r="C15" s="5">
        <v>5.1548030000000002</v>
      </c>
      <c r="D15">
        <v>8.4360000000000004E-2</v>
      </c>
      <c r="E15">
        <v>0.310363</v>
      </c>
      <c r="F15">
        <v>0.53955900000000001</v>
      </c>
      <c r="G15" s="8">
        <f t="shared" si="4"/>
        <v>9.5537336973343052</v>
      </c>
      <c r="H15" s="13">
        <f t="shared" si="0"/>
        <v>1.1836118397050397</v>
      </c>
      <c r="I15" s="21">
        <f t="shared" si="5"/>
        <v>20.281222257436166</v>
      </c>
      <c r="J15">
        <v>7.2775000000000006E-2</v>
      </c>
      <c r="K15">
        <v>0.31700600000000001</v>
      </c>
      <c r="L15">
        <v>0.53462200000000004</v>
      </c>
      <c r="M15" s="8">
        <f t="shared" si="1"/>
        <v>9.6419582433943987</v>
      </c>
      <c r="N15" s="13">
        <f t="shared" si="6"/>
        <v>1.1561505545835218</v>
      </c>
      <c r="O15" s="21">
        <f t="shared" si="7"/>
        <v>17.694821761917765</v>
      </c>
      <c r="P15">
        <v>6.7763028000000003E-2</v>
      </c>
      <c r="Q15">
        <v>0.194361477</v>
      </c>
      <c r="R15">
        <v>0.40029553800000001</v>
      </c>
      <c r="S15" s="8">
        <f t="shared" si="2"/>
        <v>12.877493028663238</v>
      </c>
      <c r="T15" s="13">
        <f t="shared" si="8"/>
        <v>1.2018652616716408</v>
      </c>
      <c r="U15" s="21">
        <f t="shared" si="9"/>
        <v>22.013332102142993</v>
      </c>
      <c r="V15">
        <v>7.6739633000000002E-2</v>
      </c>
      <c r="W15">
        <v>0.21166136999999999</v>
      </c>
      <c r="X15">
        <v>0.41666190600000003</v>
      </c>
      <c r="Y15" s="8">
        <f t="shared" si="3"/>
        <v>12.371668553736228</v>
      </c>
      <c r="Z15" s="13">
        <f t="shared" si="10"/>
        <v>1.2235983255932308</v>
      </c>
      <c r="AA15" s="23">
        <f t="shared" si="11"/>
        <v>23.882514296855348</v>
      </c>
    </row>
    <row r="16" spans="1:27" x14ac:dyDescent="0.3">
      <c r="A16" s="3">
        <v>22000000</v>
      </c>
      <c r="B16">
        <v>5.3300989999999997</v>
      </c>
      <c r="C16" s="5">
        <v>5.5227000000000004</v>
      </c>
      <c r="D16">
        <v>5.6161000000000003E-2</v>
      </c>
      <c r="E16">
        <v>0.32350800000000002</v>
      </c>
      <c r="F16">
        <v>0.55322199999999999</v>
      </c>
      <c r="G16" s="8">
        <f t="shared" si="4"/>
        <v>9.9827917183336901</v>
      </c>
      <c r="H16" s="13">
        <f t="shared" si="0"/>
        <v>1.1120045614343814</v>
      </c>
      <c r="I16" s="21">
        <f t="shared" si="5"/>
        <v>13.307787832009573</v>
      </c>
      <c r="J16">
        <v>6.2354E-2</v>
      </c>
      <c r="K16">
        <v>0.29036400000000001</v>
      </c>
      <c r="L16">
        <v>0.54063300000000003</v>
      </c>
      <c r="M16" s="8">
        <f t="shared" si="1"/>
        <v>10.215247681884014</v>
      </c>
      <c r="N16" s="13">
        <f t="shared" si="6"/>
        <v>1.1292214593417917</v>
      </c>
      <c r="O16" s="21">
        <f t="shared" si="7"/>
        <v>15.110485301489179</v>
      </c>
      <c r="P16">
        <v>6.7961723000000002E-2</v>
      </c>
      <c r="Q16">
        <v>0.373565865</v>
      </c>
      <c r="R16">
        <v>0.61356743400000002</v>
      </c>
      <c r="S16" s="8">
        <f t="shared" si="2"/>
        <v>9.0009666321371284</v>
      </c>
      <c r="T16" s="13">
        <f t="shared" si="8"/>
        <v>1.1234686786947212</v>
      </c>
      <c r="U16" s="21">
        <f t="shared" si="9"/>
        <v>14.458297325473763</v>
      </c>
      <c r="V16">
        <v>8.3303052000000002E-2</v>
      </c>
      <c r="W16">
        <v>0.17446773600000001</v>
      </c>
      <c r="X16">
        <v>0.39027858599999998</v>
      </c>
      <c r="Y16" s="8">
        <f t="shared" si="3"/>
        <v>14.150661087001071</v>
      </c>
      <c r="Z16" s="13">
        <f t="shared" si="10"/>
        <v>1.2686774063291815</v>
      </c>
      <c r="AA16" s="23">
        <f t="shared" si="11"/>
        <v>27.660493917029822</v>
      </c>
    </row>
    <row r="17" spans="1:27" x14ac:dyDescent="0.3">
      <c r="A17" s="3">
        <v>23000000</v>
      </c>
      <c r="B17">
        <v>5.6791049999999998</v>
      </c>
      <c r="C17" s="5">
        <v>5.8535399999999997</v>
      </c>
      <c r="D17">
        <v>0.10161199999999999</v>
      </c>
      <c r="E17">
        <v>0.37323400000000001</v>
      </c>
      <c r="F17">
        <v>0.60287400000000002</v>
      </c>
      <c r="G17" s="8">
        <f t="shared" si="4"/>
        <v>9.7093920122612669</v>
      </c>
      <c r="H17" s="13">
        <f t="shared" si="0"/>
        <v>1.200810641893858</v>
      </c>
      <c r="I17" s="21">
        <f t="shared" si="5"/>
        <v>21.786250526644039</v>
      </c>
      <c r="J17">
        <v>9.0114E-2</v>
      </c>
      <c r="K17">
        <v>0.34305099999999999</v>
      </c>
      <c r="L17">
        <v>0.59299100000000005</v>
      </c>
      <c r="M17" s="8">
        <f t="shared" si="1"/>
        <v>9.8712122106406319</v>
      </c>
      <c r="N17" s="13">
        <f t="shared" si="6"/>
        <v>1.1775483618341576</v>
      </c>
      <c r="O17" s="21">
        <f t="shared" si="7"/>
        <v>19.721071652014952</v>
      </c>
      <c r="P17">
        <v>7.4939536000000001E-2</v>
      </c>
      <c r="Q17">
        <v>0.19469335400000001</v>
      </c>
      <c r="R17">
        <v>0.423201143</v>
      </c>
      <c r="S17" s="8">
        <f t="shared" si="2"/>
        <v>13.831578900059823</v>
      </c>
      <c r="T17" s="13">
        <f t="shared" si="8"/>
        <v>1.2131423102452104</v>
      </c>
      <c r="U17" s="21">
        <f t="shared" si="9"/>
        <v>23.028833976944149</v>
      </c>
      <c r="V17">
        <v>8.7831841999999993E-2</v>
      </c>
      <c r="W17">
        <v>0.19962349200000001</v>
      </c>
      <c r="X17">
        <v>0.436583691</v>
      </c>
      <c r="Y17" s="8">
        <f t="shared" si="3"/>
        <v>13.407601155673953</v>
      </c>
      <c r="Z17" s="13">
        <f t="shared" si="10"/>
        <v>1.249388008572482</v>
      </c>
      <c r="AA17" s="23">
        <f t="shared" si="11"/>
        <v>26.092601184683282</v>
      </c>
    </row>
    <row r="18" spans="1:27" x14ac:dyDescent="0.3">
      <c r="A18" s="3">
        <v>24000000</v>
      </c>
      <c r="B18">
        <v>6.0303909999999998</v>
      </c>
      <c r="C18" s="5">
        <v>6.2170909999999999</v>
      </c>
      <c r="D18">
        <v>0.10888100000000001</v>
      </c>
      <c r="E18">
        <v>0.38962599999999997</v>
      </c>
      <c r="F18">
        <v>0.64265099999999997</v>
      </c>
      <c r="G18" s="8">
        <f t="shared" si="4"/>
        <v>9.6741326163034067</v>
      </c>
      <c r="H18" s="13">
        <f t="shared" si="0"/>
        <v>1.2020692067554153</v>
      </c>
      <c r="I18" s="21">
        <f t="shared" si="5"/>
        <v>21.910666909411177</v>
      </c>
      <c r="J18">
        <v>6.2800999999999996E-2</v>
      </c>
      <c r="K18">
        <v>0.33726499999999998</v>
      </c>
      <c r="L18">
        <v>0.602827</v>
      </c>
      <c r="M18" s="8">
        <f t="shared" si="1"/>
        <v>10.313225850866003</v>
      </c>
      <c r="N18" s="13">
        <f t="shared" si="6"/>
        <v>1.1152792780182859</v>
      </c>
      <c r="O18" s="21">
        <f t="shared" si="7"/>
        <v>13.671068150563926</v>
      </c>
      <c r="P18">
        <v>7.3713122000000006E-2</v>
      </c>
      <c r="Q18">
        <v>0.27164812300000002</v>
      </c>
      <c r="R18">
        <v>0.50650159400000005</v>
      </c>
      <c r="S18" s="8">
        <f t="shared" si="2"/>
        <v>12.274573414274387</v>
      </c>
      <c r="T18" s="13">
        <f t="shared" si="8"/>
        <v>1.1687661600713872</v>
      </c>
      <c r="U18" s="21">
        <f t="shared" si="9"/>
        <v>18.946475349098311</v>
      </c>
      <c r="V18">
        <v>8.9888706999999998E-2</v>
      </c>
      <c r="W18">
        <v>0.185510234</v>
      </c>
      <c r="X18">
        <v>0.43020525799999998</v>
      </c>
      <c r="Y18" s="8">
        <f t="shared" si="3"/>
        <v>14.451452845794833</v>
      </c>
      <c r="Z18" s="13">
        <f t="shared" si="10"/>
        <v>1.2615294223382747</v>
      </c>
      <c r="AA18" s="23">
        <f t="shared" si="11"/>
        <v>27.104645041321181</v>
      </c>
    </row>
    <row r="19" spans="1:27" x14ac:dyDescent="0.3">
      <c r="A19" s="3">
        <v>25000000</v>
      </c>
      <c r="B19">
        <v>6.3905620000000001</v>
      </c>
      <c r="C19" s="5">
        <v>6.5945340000000003</v>
      </c>
      <c r="D19">
        <v>6.4647999999999997E-2</v>
      </c>
      <c r="E19">
        <v>0.34819</v>
      </c>
      <c r="F19">
        <v>0.60552399999999995</v>
      </c>
      <c r="G19" s="8">
        <f t="shared" si="4"/>
        <v>10.890623658186961</v>
      </c>
      <c r="H19" s="13">
        <f t="shared" si="0"/>
        <v>1.1184802017340605</v>
      </c>
      <c r="I19" s="21">
        <f t="shared" si="5"/>
        <v>13.983970907841803</v>
      </c>
      <c r="J19">
        <v>0.115122</v>
      </c>
      <c r="K19">
        <v>0.35996299999999998</v>
      </c>
      <c r="L19">
        <v>0.61504400000000004</v>
      </c>
      <c r="M19" s="8">
        <f t="shared" si="1"/>
        <v>10.722052406006725</v>
      </c>
      <c r="N19" s="13">
        <f t="shared" si="6"/>
        <v>1.228070548728871</v>
      </c>
      <c r="O19" s="21">
        <f t="shared" si="7"/>
        <v>24.186196434726618</v>
      </c>
      <c r="P19">
        <v>7.6142184000000002E-2</v>
      </c>
      <c r="Q19">
        <v>0.38152383099999998</v>
      </c>
      <c r="R19">
        <v>0.63360415800000003</v>
      </c>
      <c r="S19" s="8">
        <f t="shared" si="2"/>
        <v>10.407971470414498</v>
      </c>
      <c r="T19" s="13">
        <f t="shared" si="8"/>
        <v>1.1353756794554499</v>
      </c>
      <c r="U19" s="21">
        <f t="shared" si="9"/>
        <v>15.659836776197418</v>
      </c>
      <c r="V19">
        <v>9.6256294000000006E-2</v>
      </c>
      <c r="W19">
        <v>0.183578978</v>
      </c>
      <c r="X19">
        <v>0.42915447299999998</v>
      </c>
      <c r="Y19" s="8">
        <f t="shared" si="3"/>
        <v>15.366341061065908</v>
      </c>
      <c r="Z19" s="13">
        <f t="shared" si="10"/>
        <v>1.2862407906745517</v>
      </c>
      <c r="AA19" s="23">
        <f t="shared" si="11"/>
        <v>29.057427144654277</v>
      </c>
    </row>
    <row r="20" spans="1:27" x14ac:dyDescent="0.3">
      <c r="A20" s="3">
        <v>26000000</v>
      </c>
      <c r="B20">
        <v>6.7549650000000003</v>
      </c>
      <c r="C20" s="5">
        <v>6.9617089999999999</v>
      </c>
      <c r="D20">
        <v>7.0656999999999998E-2</v>
      </c>
      <c r="E20">
        <v>0.36937900000000001</v>
      </c>
      <c r="F20">
        <v>0.629023</v>
      </c>
      <c r="G20" s="8">
        <f t="shared" si="4"/>
        <v>11.067495147236269</v>
      </c>
      <c r="H20" s="13">
        <f t="shared" si="0"/>
        <v>1.1254298326544849</v>
      </c>
      <c r="I20" s="21">
        <f t="shared" si="5"/>
        <v>14.678450549502958</v>
      </c>
      <c r="J20">
        <v>8.1989000000000006E-2</v>
      </c>
      <c r="K20">
        <v>0.36537199999999997</v>
      </c>
      <c r="L20">
        <v>0.62689899999999998</v>
      </c>
      <c r="M20" s="8">
        <f t="shared" si="1"/>
        <v>11.104992989301307</v>
      </c>
      <c r="N20" s="13">
        <f t="shared" si="6"/>
        <v>1.1491126029813719</v>
      </c>
      <c r="O20" s="21">
        <f t="shared" si="7"/>
        <v>17.02687354741354</v>
      </c>
      <c r="P20">
        <v>8.4298600000000001E-2</v>
      </c>
      <c r="Q20">
        <v>0.20664645100000001</v>
      </c>
      <c r="R20">
        <v>0.45577477599999999</v>
      </c>
      <c r="S20" s="8">
        <f t="shared" si="2"/>
        <v>15.274449940160796</v>
      </c>
      <c r="T20" s="13">
        <f t="shared" si="8"/>
        <v>1.2247573364401629</v>
      </c>
      <c r="U20" s="21">
        <f t="shared" si="9"/>
        <v>24.036105335061372</v>
      </c>
      <c r="V20">
        <v>9.6690463000000004E-2</v>
      </c>
      <c r="W20">
        <v>0.44762702100000001</v>
      </c>
      <c r="X20">
        <v>0.71374056399999997</v>
      </c>
      <c r="Y20" s="8">
        <f t="shared" si="3"/>
        <v>9.7538368297083373</v>
      </c>
      <c r="Z20" s="13">
        <f t="shared" si="10"/>
        <v>1.1552836119079919</v>
      </c>
      <c r="AA20" s="23">
        <f t="shared" si="11"/>
        <v>17.577538641897902</v>
      </c>
    </row>
    <row r="21" spans="1:27" x14ac:dyDescent="0.3">
      <c r="A21" s="3">
        <v>27000000</v>
      </c>
      <c r="B21">
        <v>7.1282779999999999</v>
      </c>
      <c r="C21" s="5">
        <v>7.322921</v>
      </c>
      <c r="D21">
        <v>0.12027</v>
      </c>
      <c r="E21">
        <v>0.42882900000000002</v>
      </c>
      <c r="F21">
        <v>0.69681499999999996</v>
      </c>
      <c r="G21" s="8">
        <f t="shared" si="4"/>
        <v>10.509132266096454</v>
      </c>
      <c r="H21" s="13">
        <f t="shared" si="0"/>
        <v>1.2066382180369255</v>
      </c>
      <c r="I21" s="21">
        <f t="shared" si="5"/>
        <v>22.304737986409595</v>
      </c>
      <c r="J21">
        <v>0.12771199999999999</v>
      </c>
      <c r="K21">
        <v>0.377965</v>
      </c>
      <c r="L21">
        <v>0.66173000000000004</v>
      </c>
      <c r="M21" s="8">
        <f t="shared" si="1"/>
        <v>11.066327656294863</v>
      </c>
      <c r="N21" s="13">
        <f t="shared" si="6"/>
        <v>1.2368420929664219</v>
      </c>
      <c r="O21" s="21">
        <f t="shared" si="7"/>
        <v>24.939460202801747</v>
      </c>
      <c r="P21">
        <v>8.9095579999999994E-2</v>
      </c>
      <c r="Q21">
        <v>0.20565191499999999</v>
      </c>
      <c r="R21">
        <v>0.48045059299999998</v>
      </c>
      <c r="S21" s="8">
        <f t="shared" si="2"/>
        <v>15.241777420389198</v>
      </c>
      <c r="T21" s="13">
        <f t="shared" si="8"/>
        <v>1.2254796046876422</v>
      </c>
      <c r="U21" s="21">
        <f t="shared" si="9"/>
        <v>24.123057618954796</v>
      </c>
      <c r="V21">
        <v>0.103480119</v>
      </c>
      <c r="W21">
        <v>0.202500975</v>
      </c>
      <c r="X21">
        <v>0.47192097199999999</v>
      </c>
      <c r="Y21" s="8">
        <f t="shared" si="3"/>
        <v>15.517261224830669</v>
      </c>
      <c r="Z21" s="13">
        <f t="shared" si="10"/>
        <v>1.2780551864372727</v>
      </c>
      <c r="AA21" s="23">
        <f t="shared" si="11"/>
        <v>28.418730901410331</v>
      </c>
    </row>
    <row r="22" spans="1:27" x14ac:dyDescent="0.3">
      <c r="A22" s="3">
        <v>28000000</v>
      </c>
      <c r="B22">
        <v>7.5052719999999997</v>
      </c>
      <c r="C22" s="5">
        <v>7.7059360000000003</v>
      </c>
      <c r="D22">
        <v>0.13495799999999999</v>
      </c>
      <c r="E22">
        <v>0.45679500000000001</v>
      </c>
      <c r="F22">
        <v>0.80868499999999999</v>
      </c>
      <c r="G22" s="8">
        <f t="shared" si="4"/>
        <v>9.528971107415126</v>
      </c>
      <c r="H22" s="13">
        <f t="shared" si="0"/>
        <v>1.198440041006801</v>
      </c>
      <c r="I22" s="21">
        <f t="shared" si="5"/>
        <v>21.629628347255114</v>
      </c>
      <c r="J22">
        <v>0.13374800000000001</v>
      </c>
      <c r="K22">
        <v>0.38422200000000001</v>
      </c>
      <c r="L22">
        <v>0.72089199999999998</v>
      </c>
      <c r="M22" s="8">
        <f t="shared" si="1"/>
        <v>10.689445853192989</v>
      </c>
      <c r="N22" s="13">
        <f t="shared" si="6"/>
        <v>1.2256130510792</v>
      </c>
      <c r="O22" s="21">
        <f t="shared" si="7"/>
        <v>24.029488467065804</v>
      </c>
      <c r="P22">
        <v>8.5570015999999999E-2</v>
      </c>
      <c r="Q22">
        <v>0.27930612199999999</v>
      </c>
      <c r="R22">
        <v>0.56414536100000001</v>
      </c>
      <c r="S22" s="8">
        <f t="shared" si="2"/>
        <v>13.659486601716468</v>
      </c>
      <c r="T22" s="13">
        <f t="shared" si="8"/>
        <v>1.1771571995040939</v>
      </c>
      <c r="U22" s="21">
        <f t="shared" si="9"/>
        <v>19.768364754841972</v>
      </c>
      <c r="V22">
        <v>0.10282688600000001</v>
      </c>
      <c r="W22">
        <v>0.21177714</v>
      </c>
      <c r="X22">
        <v>0.50388253599999999</v>
      </c>
      <c r="Y22" s="8">
        <f t="shared" si="3"/>
        <v>15.293119823466158</v>
      </c>
      <c r="Z22" s="13">
        <f t="shared" si="10"/>
        <v>1.2538789842940166</v>
      </c>
      <c r="AA22" s="23">
        <f t="shared" si="11"/>
        <v>26.49649266272646</v>
      </c>
    </row>
    <row r="23" spans="1:27" x14ac:dyDescent="0.3">
      <c r="A23" s="3">
        <v>29000000</v>
      </c>
      <c r="B23">
        <v>7.8874610000000001</v>
      </c>
      <c r="C23" s="5">
        <v>8.0842749999999999</v>
      </c>
      <c r="D23">
        <v>0.1409</v>
      </c>
      <c r="E23">
        <v>0.45738000000000001</v>
      </c>
      <c r="F23">
        <v>0.75785800000000003</v>
      </c>
      <c r="G23" s="8">
        <f t="shared" si="4"/>
        <v>10.667268802335002</v>
      </c>
      <c r="H23" s="13">
        <f t="shared" si="0"/>
        <v>1.2261908138692916</v>
      </c>
      <c r="I23" s="21">
        <f t="shared" si="5"/>
        <v>24.008162478986826</v>
      </c>
      <c r="J23">
        <v>8.7517999999999999E-2</v>
      </c>
      <c r="K23">
        <v>0.44627600000000001</v>
      </c>
      <c r="L23">
        <v>0.722881</v>
      </c>
      <c r="M23" s="8">
        <f t="shared" si="1"/>
        <v>11.183410547517504</v>
      </c>
      <c r="N23" s="13">
        <f t="shared" si="6"/>
        <v>1.1365218323309625</v>
      </c>
      <c r="O23" s="21">
        <f t="shared" si="7"/>
        <v>15.758321217461795</v>
      </c>
      <c r="P23">
        <v>9.1317726000000002E-2</v>
      </c>
      <c r="Q23">
        <v>0.25340410499999999</v>
      </c>
      <c r="R23">
        <v>0.532176023</v>
      </c>
      <c r="S23" s="8">
        <f t="shared" si="2"/>
        <v>15.190979395176546</v>
      </c>
      <c r="T23" s="13">
        <f t="shared" si="8"/>
        <v>1.205185936580552</v>
      </c>
      <c r="U23" s="21">
        <f t="shared" si="9"/>
        <v>22.316155946018636</v>
      </c>
      <c r="V23">
        <v>0.11237367299999999</v>
      </c>
      <c r="W23">
        <v>0.27750123399999999</v>
      </c>
      <c r="X23">
        <v>0.57281617699999998</v>
      </c>
      <c r="Y23" s="8">
        <f t="shared" si="3"/>
        <v>14.113210004542173</v>
      </c>
      <c r="Z23" s="13">
        <f t="shared" si="10"/>
        <v>1.2416883104311898</v>
      </c>
      <c r="AA23" s="23">
        <f t="shared" si="11"/>
        <v>25.43009782002019</v>
      </c>
    </row>
    <row r="24" spans="1:27" x14ac:dyDescent="0.3">
      <c r="A24" s="3">
        <v>30000000</v>
      </c>
      <c r="B24">
        <v>8.2786139999999993</v>
      </c>
      <c r="C24" s="5">
        <v>8.4775270000000003</v>
      </c>
      <c r="D24">
        <v>0.144535</v>
      </c>
      <c r="E24">
        <v>0.461476</v>
      </c>
      <c r="F24">
        <v>0.76216399999999995</v>
      </c>
      <c r="G24" s="8">
        <f t="shared" si="4"/>
        <v>11.12296959709459</v>
      </c>
      <c r="H24" s="13">
        <f t="shared" si="0"/>
        <v>1.2317639184744615</v>
      </c>
      <c r="I24" s="21">
        <f t="shared" si="5"/>
        <v>24.478502002193753</v>
      </c>
      <c r="J24">
        <v>0.14813499999999999</v>
      </c>
      <c r="K24">
        <v>0.40044099999999999</v>
      </c>
      <c r="L24">
        <v>0.68101</v>
      </c>
      <c r="M24" s="8">
        <f t="shared" si="1"/>
        <v>12.448461843438423</v>
      </c>
      <c r="N24" s="13">
        <f t="shared" si="6"/>
        <v>1.2752224800305048</v>
      </c>
      <c r="O24" s="21">
        <f t="shared" si="7"/>
        <v>28.037347469200157</v>
      </c>
      <c r="P24">
        <v>0.10262703500000001</v>
      </c>
      <c r="Q24">
        <v>0.33030249900000003</v>
      </c>
      <c r="R24">
        <v>0.62295856800000005</v>
      </c>
      <c r="S24" s="8">
        <f t="shared" si="2"/>
        <v>13.608492499295714</v>
      </c>
      <c r="T24" s="13">
        <f t="shared" si="8"/>
        <v>1.1953919658901075</v>
      </c>
      <c r="U24" s="21">
        <f t="shared" si="9"/>
        <v>21.391935513117463</v>
      </c>
      <c r="V24">
        <v>0.116609034</v>
      </c>
      <c r="W24">
        <v>0.23444620199999999</v>
      </c>
      <c r="X24">
        <v>0.56806774400000004</v>
      </c>
      <c r="Y24" s="8">
        <f t="shared" si="3"/>
        <v>14.923443708150414</v>
      </c>
      <c r="Z24" s="13">
        <f t="shared" si="10"/>
        <v>1.2557598824550271</v>
      </c>
      <c r="AA24" s="23">
        <f t="shared" si="11"/>
        <v>26.656977129826263</v>
      </c>
    </row>
    <row r="25" spans="1:27" x14ac:dyDescent="0.3">
      <c r="A25" s="3">
        <v>31000000</v>
      </c>
      <c r="B25">
        <v>8.7138349999999996</v>
      </c>
      <c r="C25" s="5">
        <v>8.9261719999999993</v>
      </c>
      <c r="D25">
        <v>0.15729099999999999</v>
      </c>
      <c r="E25">
        <v>0.49595299999999998</v>
      </c>
      <c r="F25">
        <v>0.84679800000000005</v>
      </c>
      <c r="G25" s="8">
        <f t="shared" si="4"/>
        <v>10.541087721038545</v>
      </c>
      <c r="H25" s="13">
        <f t="shared" si="0"/>
        <v>1.2259361045756152</v>
      </c>
      <c r="I25" s="21">
        <f t="shared" si="5"/>
        <v>24.00431035500792</v>
      </c>
      <c r="J25">
        <v>0.13436600000000001</v>
      </c>
      <c r="K25">
        <v>0.44523800000000002</v>
      </c>
      <c r="L25">
        <v>0.74759200000000003</v>
      </c>
      <c r="M25" s="8">
        <f t="shared" si="1"/>
        <v>11.939897698209718</v>
      </c>
      <c r="N25" s="13">
        <f t="shared" si="6"/>
        <v>1.2170300048733713</v>
      </c>
      <c r="O25" s="21">
        <f t="shared" si="7"/>
        <v>23.230366296054534</v>
      </c>
      <c r="P25">
        <v>0.104478167</v>
      </c>
      <c r="Q25">
        <v>0.25149705500000002</v>
      </c>
      <c r="R25">
        <v>0.56556139599999999</v>
      </c>
      <c r="S25" s="8">
        <f t="shared" si="2"/>
        <v>15.78285233598228</v>
      </c>
      <c r="T25" s="13">
        <f t="shared" si="8"/>
        <v>1.2244253116686306</v>
      </c>
      <c r="U25" s="21">
        <f t="shared" si="9"/>
        <v>24.016475746162843</v>
      </c>
      <c r="V25">
        <v>0.117867729</v>
      </c>
      <c r="W25">
        <v>0.26237260000000001</v>
      </c>
      <c r="X25">
        <v>0.59410749500000004</v>
      </c>
      <c r="Y25" s="8">
        <f t="shared" si="3"/>
        <v>15.024506634106675</v>
      </c>
      <c r="Z25" s="13">
        <f t="shared" si="10"/>
        <v>1.2450891492224381</v>
      </c>
      <c r="AA25" s="23">
        <f t="shared" si="11"/>
        <v>25.754491580686082</v>
      </c>
    </row>
    <row r="26" spans="1:27" x14ac:dyDescent="0.3">
      <c r="A26" s="3">
        <v>32000000</v>
      </c>
      <c r="B26">
        <v>9.0826989999999999</v>
      </c>
      <c r="C26" s="5">
        <v>9.2956199999999995</v>
      </c>
      <c r="D26">
        <v>9.1906000000000002E-2</v>
      </c>
      <c r="E26">
        <v>0.41533700000000001</v>
      </c>
      <c r="F26">
        <v>0.73694899999999997</v>
      </c>
      <c r="G26" s="8">
        <f t="shared" si="4"/>
        <v>12.613654404850267</v>
      </c>
      <c r="H26" s="13">
        <f t="shared" si="0"/>
        <v>1.1412101105030994</v>
      </c>
      <c r="I26" s="21">
        <f t="shared" si="5"/>
        <v>16.274767996157131</v>
      </c>
      <c r="J26">
        <v>0.142488</v>
      </c>
      <c r="K26">
        <v>0.42730099999999999</v>
      </c>
      <c r="L26">
        <v>0.72968</v>
      </c>
      <c r="M26" s="8">
        <f t="shared" si="1"/>
        <v>12.739310382633482</v>
      </c>
      <c r="N26" s="13">
        <f t="shared" si="6"/>
        <v>1.2403086280791973</v>
      </c>
      <c r="O26" s="21">
        <f t="shared" si="7"/>
        <v>25.214278861966889</v>
      </c>
      <c r="P26">
        <v>0.107163073</v>
      </c>
      <c r="Q26">
        <v>0.24137739899999999</v>
      </c>
      <c r="R26">
        <v>0.57223945399999998</v>
      </c>
      <c r="S26" s="8">
        <f t="shared" si="2"/>
        <v>16.244283638646138</v>
      </c>
      <c r="T26" s="13">
        <f t="shared" si="8"/>
        <v>1.2282094002020443</v>
      </c>
      <c r="U26" s="21">
        <f t="shared" si="9"/>
        <v>24.361431614954672</v>
      </c>
      <c r="V26">
        <v>0.12411404099999999</v>
      </c>
      <c r="W26">
        <v>0.26514979300000002</v>
      </c>
      <c r="X26">
        <v>0.59829454100000001</v>
      </c>
      <c r="Y26" s="8">
        <f t="shared" si="3"/>
        <v>15.536862469885046</v>
      </c>
      <c r="Z26" s="13">
        <f t="shared" si="10"/>
        <v>1.2591694486498339</v>
      </c>
      <c r="AA26" s="23">
        <f t="shared" si="11"/>
        <v>26.902515152649535</v>
      </c>
    </row>
    <row r="27" spans="1:27" x14ac:dyDescent="0.3">
      <c r="A27" s="3">
        <v>33000000</v>
      </c>
      <c r="B27">
        <v>9.5072290000000006</v>
      </c>
      <c r="C27" s="5">
        <v>9.7146369999999997</v>
      </c>
      <c r="D27">
        <v>9.5139000000000001E-2</v>
      </c>
      <c r="E27">
        <v>0.42638100000000001</v>
      </c>
      <c r="F27">
        <v>0.75906700000000005</v>
      </c>
      <c r="G27" s="8">
        <f t="shared" si="4"/>
        <v>12.798128491951303</v>
      </c>
      <c r="H27" s="13">
        <f t="shared" si="0"/>
        <v>1.142018664465986</v>
      </c>
      <c r="I27" s="21">
        <f t="shared" si="5"/>
        <v>16.356051573839991</v>
      </c>
      <c r="J27">
        <v>9.6336000000000005E-2</v>
      </c>
      <c r="K27">
        <v>0.45704499999999998</v>
      </c>
      <c r="L27">
        <v>0.77509399999999995</v>
      </c>
      <c r="M27" s="8">
        <f t="shared" si="1"/>
        <v>12.533495292183916</v>
      </c>
      <c r="N27" s="13">
        <f t="shared" si="6"/>
        <v>1.1406650190348384</v>
      </c>
      <c r="O27" s="21">
        <f t="shared" si="7"/>
        <v>16.195095046536292</v>
      </c>
      <c r="P27">
        <v>0.108210137</v>
      </c>
      <c r="Q27">
        <v>0.25792882900000003</v>
      </c>
      <c r="R27">
        <v>0.57704080000000002</v>
      </c>
      <c r="S27" s="8">
        <f t="shared" si="2"/>
        <v>16.835268840608844</v>
      </c>
      <c r="T27" s="13">
        <f t="shared" si="8"/>
        <v>1.2285931850929401</v>
      </c>
      <c r="U27" s="21">
        <f t="shared" si="9"/>
        <v>24.368813037137059</v>
      </c>
      <c r="V27">
        <v>0.129288135</v>
      </c>
      <c r="W27">
        <v>0.58268616399999995</v>
      </c>
      <c r="X27">
        <v>0.916783177</v>
      </c>
      <c r="Y27" s="8">
        <f t="shared" si="3"/>
        <v>10.596438987666982</v>
      </c>
      <c r="Z27" s="13">
        <f t="shared" si="10"/>
        <v>1.1626851500917967</v>
      </c>
      <c r="AA27" s="23">
        <f t="shared" si="11"/>
        <v>18.274430179689041</v>
      </c>
    </row>
    <row r="28" spans="1:27" x14ac:dyDescent="0.3">
      <c r="A28" s="3">
        <v>34000000</v>
      </c>
      <c r="B28">
        <v>9.888261</v>
      </c>
      <c r="C28" s="5">
        <v>10.095466</v>
      </c>
      <c r="D28">
        <v>9.7430000000000003E-2</v>
      </c>
      <c r="E28">
        <v>0.45483400000000002</v>
      </c>
      <c r="F28">
        <v>0.798072</v>
      </c>
      <c r="G28" s="8">
        <f t="shared" si="4"/>
        <v>12.649818562736193</v>
      </c>
      <c r="H28" s="13">
        <f t="shared" si="0"/>
        <v>1.137822057272116</v>
      </c>
      <c r="I28" s="21">
        <f t="shared" si="5"/>
        <v>15.934462053549053</v>
      </c>
      <c r="J28">
        <v>9.8386000000000001E-2</v>
      </c>
      <c r="K28">
        <v>0.49503799999999998</v>
      </c>
      <c r="L28">
        <v>0.82130199999999998</v>
      </c>
      <c r="M28" s="8">
        <f t="shared" si="1"/>
        <v>12.292026562701661</v>
      </c>
      <c r="N28" s="13">
        <f t="shared" si="6"/>
        <v>1.1348893618782541</v>
      </c>
      <c r="O28" s="21">
        <f t="shared" si="7"/>
        <v>15.61092752726768</v>
      </c>
      <c r="P28">
        <v>0.110607486</v>
      </c>
      <c r="Q28">
        <v>0.27251062999999998</v>
      </c>
      <c r="R28">
        <v>0.60023939100000001</v>
      </c>
      <c r="S28" s="8">
        <f t="shared" si="2"/>
        <v>16.819066111574141</v>
      </c>
      <c r="T28" s="13">
        <f t="shared" si="8"/>
        <v>1.2237395599594949</v>
      </c>
      <c r="U28" s="21">
        <f t="shared" si="9"/>
        <v>23.948577348533263</v>
      </c>
      <c r="V28">
        <v>0.13284594899999999</v>
      </c>
      <c r="W28">
        <v>0.27759220800000001</v>
      </c>
      <c r="X28">
        <v>0.649747148</v>
      </c>
      <c r="Y28" s="8">
        <f t="shared" si="3"/>
        <v>15.537530300941006</v>
      </c>
      <c r="Z28" s="13">
        <f t="shared" si="10"/>
        <v>1.2544857121576685</v>
      </c>
      <c r="AA28" s="23">
        <f t="shared" si="11"/>
        <v>26.538924435571356</v>
      </c>
    </row>
    <row r="29" spans="1:27" x14ac:dyDescent="0.3">
      <c r="A29" s="3">
        <v>35000000</v>
      </c>
      <c r="B29">
        <v>10.361186999999999</v>
      </c>
      <c r="C29" s="5">
        <v>10.571692000000001</v>
      </c>
      <c r="D29">
        <v>0.104333</v>
      </c>
      <c r="E29">
        <v>0.47706900000000002</v>
      </c>
      <c r="F29">
        <v>0.85248299999999999</v>
      </c>
      <c r="G29" s="8">
        <f t="shared" si="4"/>
        <v>12.40105902405092</v>
      </c>
      <c r="H29" s="13">
        <f t="shared" si="0"/>
        <v>1.1382145819899214</v>
      </c>
      <c r="I29" s="21">
        <f t="shared" si="5"/>
        <v>15.983550405110718</v>
      </c>
      <c r="J29">
        <v>0.102977</v>
      </c>
      <c r="K29">
        <v>0.47350999999999999</v>
      </c>
      <c r="L29">
        <v>1.5163899999999999</v>
      </c>
      <c r="M29" s="8">
        <f t="shared" si="1"/>
        <v>6.9716181193492446</v>
      </c>
      <c r="N29" s="13">
        <f t="shared" si="6"/>
        <v>1.0722466605193848</v>
      </c>
      <c r="O29" s="21">
        <f t="shared" si="7"/>
        <v>9.3122211304479734</v>
      </c>
      <c r="P29">
        <v>0.123418897</v>
      </c>
      <c r="Q29">
        <v>0.24294616999999999</v>
      </c>
      <c r="R29">
        <v>0.57554610799999995</v>
      </c>
      <c r="S29" s="8">
        <f t="shared" si="2"/>
        <v>18.368106139638776</v>
      </c>
      <c r="T29" s="13">
        <f t="shared" si="8"/>
        <v>1.2702648541899735</v>
      </c>
      <c r="U29" s="21">
        <f t="shared" si="9"/>
        <v>27.811498739211356</v>
      </c>
      <c r="V29">
        <v>0.145139346</v>
      </c>
      <c r="W29">
        <v>0.31218259999999998</v>
      </c>
      <c r="X29">
        <v>0.67168555100000005</v>
      </c>
      <c r="Y29" s="8">
        <f t="shared" si="3"/>
        <v>15.739049298084424</v>
      </c>
      <c r="Z29" s="13">
        <f t="shared" si="10"/>
        <v>1.2729029258135383</v>
      </c>
      <c r="AA29" s="23">
        <f t="shared" si="11"/>
        <v>27.977674769127194</v>
      </c>
    </row>
    <row r="30" spans="1:27" x14ac:dyDescent="0.3">
      <c r="A30" s="3">
        <v>36000000</v>
      </c>
      <c r="B30">
        <v>10.91563</v>
      </c>
      <c r="C30" s="5">
        <v>11.142515</v>
      </c>
      <c r="D30">
        <v>0.108543</v>
      </c>
      <c r="E30">
        <v>0.48291299999999998</v>
      </c>
      <c r="F30">
        <v>0.94400600000000001</v>
      </c>
      <c r="G30" s="8">
        <f t="shared" si="4"/>
        <v>11.80343663069938</v>
      </c>
      <c r="H30" s="13">
        <f t="shared" si="0"/>
        <v>1.1287738757693562</v>
      </c>
      <c r="I30" s="21">
        <f t="shared" si="5"/>
        <v>15.091062980531904</v>
      </c>
      <c r="J30">
        <v>0.19147500000000001</v>
      </c>
      <c r="K30">
        <v>0.51920299999999997</v>
      </c>
      <c r="L30">
        <v>0.86380400000000002</v>
      </c>
      <c r="M30" s="8">
        <f t="shared" si="1"/>
        <v>12.899355640862973</v>
      </c>
      <c r="N30" s="13">
        <f t="shared" si="6"/>
        <v>1.2819413500495951</v>
      </c>
      <c r="O30" s="21">
        <f t="shared" si="7"/>
        <v>28.550372538214688</v>
      </c>
      <c r="P30">
        <v>0.124865146</v>
      </c>
      <c r="Q30">
        <v>0.734608547</v>
      </c>
      <c r="R30">
        <v>1.095456338</v>
      </c>
      <c r="S30" s="8">
        <f t="shared" si="2"/>
        <v>10.1715738121915</v>
      </c>
      <c r="T30" s="13">
        <f t="shared" si="8"/>
        <v>1.127515318222966</v>
      </c>
      <c r="U30" s="21">
        <f t="shared" si="9"/>
        <v>14.805447529392998</v>
      </c>
      <c r="V30">
        <v>0.14706892799999999</v>
      </c>
      <c r="W30">
        <v>0.77939993100000005</v>
      </c>
      <c r="X30">
        <v>1.1409872430000001</v>
      </c>
      <c r="Y30" s="8">
        <f t="shared" si="3"/>
        <v>9.7656788613192216</v>
      </c>
      <c r="Z30" s="13">
        <f t="shared" si="10"/>
        <v>1.1466433007292971</v>
      </c>
      <c r="AA30" s="23">
        <f t="shared" si="11"/>
        <v>16.686725714776461</v>
      </c>
    </row>
    <row r="31" spans="1:27" x14ac:dyDescent="0.3">
      <c r="A31" s="3">
        <v>37000000</v>
      </c>
      <c r="B31">
        <v>11.149357</v>
      </c>
      <c r="C31" s="5">
        <v>11.384838999999999</v>
      </c>
      <c r="D31">
        <v>0.15321000000000001</v>
      </c>
      <c r="E31">
        <v>0.51332699999999998</v>
      </c>
      <c r="F31">
        <v>0.87046900000000005</v>
      </c>
      <c r="G31" s="8">
        <f t="shared" si="4"/>
        <v>13.078971221261181</v>
      </c>
      <c r="H31" s="13">
        <f t="shared" si="0"/>
        <v>1.2115829734777799</v>
      </c>
      <c r="I31" s="21">
        <f t="shared" si="5"/>
        <v>22.763374686519565</v>
      </c>
      <c r="J31">
        <v>0.17152000000000001</v>
      </c>
      <c r="K31">
        <v>0.51809499999999997</v>
      </c>
      <c r="L31">
        <v>0.90243899999999999</v>
      </c>
      <c r="M31" s="8">
        <f t="shared" si="1"/>
        <v>12.615632746368453</v>
      </c>
      <c r="N31" s="13">
        <f t="shared" si="6"/>
        <v>1.2324041083824167</v>
      </c>
      <c r="O31" s="21">
        <f t="shared" si="7"/>
        <v>24.563858609834018</v>
      </c>
      <c r="P31">
        <v>0.12752822899999999</v>
      </c>
      <c r="Q31">
        <v>0.25802105400000003</v>
      </c>
      <c r="R31">
        <v>0.62103028500000002</v>
      </c>
      <c r="S31" s="8">
        <f t="shared" si="2"/>
        <v>18.332180048192011</v>
      </c>
      <c r="T31" s="13">
        <f t="shared" si="8"/>
        <v>1.2558793361380998</v>
      </c>
      <c r="U31" s="21">
        <f t="shared" si="9"/>
        <v>26.663907886553389</v>
      </c>
      <c r="V31">
        <v>0.14073661000000001</v>
      </c>
      <c r="W31">
        <v>0.638980891</v>
      </c>
      <c r="X31">
        <v>0.99996237899999996</v>
      </c>
      <c r="Y31" s="8">
        <f t="shared" si="3"/>
        <v>11.385267325142038</v>
      </c>
      <c r="Z31" s="13">
        <f t="shared" si="10"/>
        <v>1.1623073382735654</v>
      </c>
      <c r="AA31" s="23">
        <f t="shared" si="11"/>
        <v>18.235216985098198</v>
      </c>
    </row>
    <row r="32" spans="1:27" x14ac:dyDescent="0.3">
      <c r="A32" s="3">
        <v>38000000</v>
      </c>
      <c r="B32">
        <v>11.578430000000001</v>
      </c>
      <c r="C32" s="5">
        <v>11.813434000000001</v>
      </c>
      <c r="D32">
        <v>0.13292499999999999</v>
      </c>
      <c r="E32">
        <v>0.46712100000000001</v>
      </c>
      <c r="F32">
        <v>0.86506799999999995</v>
      </c>
      <c r="G32" s="8">
        <f t="shared" si="4"/>
        <v>13.65607559174539</v>
      </c>
      <c r="H32" s="13">
        <f t="shared" si="0"/>
        <v>1.1798825088378473</v>
      </c>
      <c r="I32" s="21">
        <f t="shared" si="5"/>
        <v>19.974640143896199</v>
      </c>
      <c r="J32">
        <v>0.20849200000000001</v>
      </c>
      <c r="K32">
        <v>0.54906900000000003</v>
      </c>
      <c r="L32">
        <v>0.93778600000000001</v>
      </c>
      <c r="M32" s="8">
        <f t="shared" si="1"/>
        <v>12.597153295101442</v>
      </c>
      <c r="N32" s="13">
        <f t="shared" si="6"/>
        <v>1.2830164059296443</v>
      </c>
      <c r="O32" s="21">
        <f t="shared" si="7"/>
        <v>28.64960769301312</v>
      </c>
      <c r="P32">
        <v>0.14240409800000001</v>
      </c>
      <c r="Q32">
        <v>0.57478594299999997</v>
      </c>
      <c r="R32">
        <v>0.94849409299999998</v>
      </c>
      <c r="S32" s="8">
        <f t="shared" si="2"/>
        <v>12.45493681740831</v>
      </c>
      <c r="T32" s="13">
        <f t="shared" si="8"/>
        <v>1.1750385575560025</v>
      </c>
      <c r="U32" s="21">
        <f t="shared" si="9"/>
        <v>19.46140596154456</v>
      </c>
      <c r="V32">
        <v>0.14881881499999999</v>
      </c>
      <c r="W32">
        <v>0.44644657599999998</v>
      </c>
      <c r="X32">
        <v>0.81670077799999996</v>
      </c>
      <c r="Y32" s="8">
        <f t="shared" si="3"/>
        <v>14.464825206766243</v>
      </c>
      <c r="Z32" s="13">
        <f t="shared" si="10"/>
        <v>1.2206970444161214</v>
      </c>
      <c r="AA32" s="23">
        <f t="shared" si="11"/>
        <v>23.595231235349701</v>
      </c>
    </row>
    <row r="33" spans="1:34" x14ac:dyDescent="0.3">
      <c r="A33" s="3">
        <v>39000000</v>
      </c>
      <c r="B33">
        <v>12.013828</v>
      </c>
      <c r="C33" s="5">
        <v>12.281571</v>
      </c>
      <c r="D33">
        <v>0.16696800000000001</v>
      </c>
      <c r="E33">
        <v>0.52224199999999998</v>
      </c>
      <c r="F33">
        <v>0.887297</v>
      </c>
      <c r="G33" s="8">
        <f t="shared" si="4"/>
        <v>13.841555871371142</v>
      </c>
      <c r="H33" s="13">
        <f t="shared" si="0"/>
        <v>1.2295674699802142</v>
      </c>
      <c r="I33" s="21">
        <f t="shared" si="5"/>
        <v>24.309775644457268</v>
      </c>
      <c r="J33">
        <v>0.13708200000000001</v>
      </c>
      <c r="K33">
        <v>0.51945600000000003</v>
      </c>
      <c r="L33">
        <v>0.93405700000000003</v>
      </c>
      <c r="M33" s="8">
        <f t="shared" si="1"/>
        <v>13.148631186319463</v>
      </c>
      <c r="N33" s="13">
        <f t="shared" si="6"/>
        <v>1.1704300940846903</v>
      </c>
      <c r="O33" s="21">
        <f t="shared" si="7"/>
        <v>19.082363281898218</v>
      </c>
      <c r="P33">
        <v>0.135459519</v>
      </c>
      <c r="Q33">
        <v>0.25767692399999997</v>
      </c>
      <c r="R33">
        <v>0.64955126799999996</v>
      </c>
      <c r="S33" s="8">
        <f t="shared" si="2"/>
        <v>18.907777730640962</v>
      </c>
      <c r="T33" s="13">
        <f t="shared" si="8"/>
        <v>1.2608972815608517</v>
      </c>
      <c r="U33" s="21">
        <f t="shared" si="9"/>
        <v>27.088290214837979</v>
      </c>
      <c r="V33">
        <v>0.16118881900000001</v>
      </c>
      <c r="W33">
        <v>0.278374336</v>
      </c>
      <c r="X33">
        <v>0.66710860000000005</v>
      </c>
      <c r="Y33" s="8">
        <f t="shared" si="3"/>
        <v>18.410152409967431</v>
      </c>
      <c r="Z33" s="13">
        <f t="shared" si="10"/>
        <v>1.3153314898774366</v>
      </c>
      <c r="AA33" s="23">
        <f t="shared" si="11"/>
        <v>31.268843299276909</v>
      </c>
    </row>
    <row r="34" spans="1:34" x14ac:dyDescent="0.3">
      <c r="A34" s="3">
        <v>40000000</v>
      </c>
      <c r="B34">
        <v>12.462076</v>
      </c>
      <c r="C34" s="5">
        <v>12.756418</v>
      </c>
      <c r="D34">
        <v>0.21521699999999999</v>
      </c>
      <c r="E34">
        <v>0.54652699999999999</v>
      </c>
      <c r="F34">
        <v>0.94492299999999996</v>
      </c>
      <c r="G34" s="8">
        <f t="shared" si="4"/>
        <v>13.499955022790218</v>
      </c>
      <c r="H34" s="13">
        <f t="shared" si="0"/>
        <v>1.2919596676201379</v>
      </c>
      <c r="I34" s="21">
        <f t="shared" si="5"/>
        <v>29.347317188807978</v>
      </c>
      <c r="J34">
        <v>0.17915700000000001</v>
      </c>
      <c r="K34">
        <v>0.55600400000000005</v>
      </c>
      <c r="L34">
        <v>0.99187899999999996</v>
      </c>
      <c r="M34" s="8">
        <f t="shared" si="1"/>
        <v>12.860861052608232</v>
      </c>
      <c r="N34" s="13">
        <f t="shared" si="6"/>
        <v>1.2183424711369106</v>
      </c>
      <c r="O34" s="21">
        <f t="shared" si="7"/>
        <v>23.378672196911118</v>
      </c>
      <c r="P34">
        <v>0.136315824</v>
      </c>
      <c r="Q34">
        <v>0.89068462599999998</v>
      </c>
      <c r="R34">
        <v>1.2810405250000001</v>
      </c>
      <c r="S34" s="8">
        <f t="shared" si="2"/>
        <v>9.9578567196381229</v>
      </c>
      <c r="T34" s="13">
        <f t="shared" si="8"/>
        <v>1.1180416095188026</v>
      </c>
      <c r="U34" s="21">
        <f t="shared" si="9"/>
        <v>13.818817751296352</v>
      </c>
      <c r="V34">
        <v>0.15576231400000001</v>
      </c>
      <c r="W34">
        <v>0.26798924400000002</v>
      </c>
      <c r="X34">
        <v>0.666748432</v>
      </c>
      <c r="Y34" s="8">
        <f t="shared" si="3"/>
        <v>19.132280464065644</v>
      </c>
      <c r="Z34" s="13">
        <f t="shared" si="10"/>
        <v>1.3017268887126916</v>
      </c>
      <c r="AA34" s="23">
        <f t="shared" si="11"/>
        <v>30.267147393906434</v>
      </c>
    </row>
    <row r="35" spans="1:34" ht="30" customHeight="1" x14ac:dyDescent="0.3"/>
    <row r="36" spans="1:34" x14ac:dyDescent="0.3">
      <c r="A36" s="29" t="s">
        <v>11</v>
      </c>
      <c r="B36" s="31" t="s">
        <v>13</v>
      </c>
      <c r="C36" s="32"/>
      <c r="D36" s="32"/>
      <c r="E36" s="32"/>
      <c r="F36" s="29"/>
      <c r="G36" s="31" t="s">
        <v>14</v>
      </c>
      <c r="H36" s="32"/>
      <c r="I36" s="32"/>
      <c r="J36" s="32"/>
      <c r="K36" s="32"/>
      <c r="L36" s="31" t="s">
        <v>15</v>
      </c>
      <c r="M36" s="32"/>
      <c r="N36" s="32"/>
      <c r="O36" s="32"/>
      <c r="P36" s="29"/>
      <c r="Q36" s="31" t="s">
        <v>16</v>
      </c>
      <c r="R36" s="32"/>
      <c r="S36" s="32"/>
      <c r="T36" s="32"/>
      <c r="U36" s="29"/>
      <c r="V36" s="31" t="s">
        <v>18</v>
      </c>
      <c r="W36" s="32"/>
      <c r="X36" s="32"/>
      <c r="Y36" s="32"/>
      <c r="Z36" s="29"/>
      <c r="AA36" s="31" t="s">
        <v>19</v>
      </c>
      <c r="AB36" s="32"/>
      <c r="AC36" s="32"/>
      <c r="AD36" s="32"/>
      <c r="AE36" s="32"/>
      <c r="AF36" s="19"/>
      <c r="AG36" s="19"/>
      <c r="AH36" s="19"/>
    </row>
    <row r="37" spans="1:34" ht="15" thickBot="1" x14ac:dyDescent="0.35">
      <c r="A37" s="30"/>
      <c r="B37" s="9" t="s">
        <v>4</v>
      </c>
      <c r="C37" s="10" t="s">
        <v>5</v>
      </c>
      <c r="D37" s="10" t="s">
        <v>3</v>
      </c>
      <c r="E37" s="16" t="s">
        <v>6</v>
      </c>
      <c r="F37" s="14" t="s">
        <v>20</v>
      </c>
      <c r="G37" s="10" t="s">
        <v>4</v>
      </c>
      <c r="H37" s="10" t="s">
        <v>5</v>
      </c>
      <c r="I37" s="10" t="s">
        <v>3</v>
      </c>
      <c r="J37" s="16" t="s">
        <v>6</v>
      </c>
      <c r="K37" s="14" t="s">
        <v>20</v>
      </c>
      <c r="L37" s="10" t="s">
        <v>4</v>
      </c>
      <c r="M37" s="10" t="s">
        <v>5</v>
      </c>
      <c r="N37" s="10" t="s">
        <v>3</v>
      </c>
      <c r="O37" s="16" t="s">
        <v>6</v>
      </c>
      <c r="P37" s="14" t="s">
        <v>20</v>
      </c>
      <c r="Q37" s="10" t="s">
        <v>4</v>
      </c>
      <c r="R37" s="10" t="s">
        <v>5</v>
      </c>
      <c r="S37" s="10" t="s">
        <v>3</v>
      </c>
      <c r="T37" s="16" t="s">
        <v>6</v>
      </c>
      <c r="U37" s="14" t="s">
        <v>20</v>
      </c>
      <c r="V37" s="10" t="s">
        <v>4</v>
      </c>
      <c r="W37" s="10" t="s">
        <v>5</v>
      </c>
      <c r="X37" s="10" t="s">
        <v>3</v>
      </c>
      <c r="Y37" s="16" t="s">
        <v>6</v>
      </c>
      <c r="Z37" s="14" t="s">
        <v>12</v>
      </c>
      <c r="AA37" s="10" t="s">
        <v>4</v>
      </c>
      <c r="AB37" s="10" t="s">
        <v>5</v>
      </c>
      <c r="AC37" s="10" t="s">
        <v>3</v>
      </c>
      <c r="AD37" s="16" t="s">
        <v>6</v>
      </c>
      <c r="AE37" s="15" t="s">
        <v>12</v>
      </c>
    </row>
    <row r="38" spans="1:34" x14ac:dyDescent="0.3">
      <c r="A38" s="24">
        <v>1</v>
      </c>
      <c r="B38" s="25">
        <v>2.0125489999999999</v>
      </c>
      <c r="C38" s="25">
        <v>2.545E-3</v>
      </c>
      <c r="D38" s="25">
        <v>2.0870690000000001</v>
      </c>
      <c r="E38" s="8">
        <f>$C$4/D38</f>
        <v>0.87851575582790986</v>
      </c>
      <c r="F38" s="11">
        <f xml:space="preserve"> 1 / ((($D$38-$B$38-$C$38)/$D$38) + (($B$38/$D$38)/A38) + ($C$38/$D$38))</f>
        <v>1</v>
      </c>
      <c r="G38" s="25">
        <v>2.0076520000000002</v>
      </c>
      <c r="H38" s="25">
        <v>2.3809999999999999E-3</v>
      </c>
      <c r="I38" s="25">
        <v>2.0981580000000002</v>
      </c>
      <c r="J38" s="8">
        <f>$C$4/I38</f>
        <v>0.87387270167451636</v>
      </c>
      <c r="K38" s="11">
        <f xml:space="preserve"> 1 / ((($I$38-$G$38-$H$38)/$I$38) + (($G$38/$I$38)/A38) + ($H$38/$I$38))</f>
        <v>1</v>
      </c>
      <c r="L38">
        <v>1.006434885</v>
      </c>
      <c r="M38">
        <v>2.6982260000000002E-3</v>
      </c>
      <c r="N38">
        <v>1.0906670039999999</v>
      </c>
      <c r="O38" s="8">
        <f>$C$4/N38</f>
        <v>1.681102475160237</v>
      </c>
      <c r="P38" s="11">
        <f xml:space="preserve"> 1 / ((($N$38-$L$38-$M$38)/$N$38) + (($L$38/$N$38)/A38) + ($M$38/$N$38))</f>
        <v>1</v>
      </c>
      <c r="Q38">
        <v>1.0659155739999999</v>
      </c>
      <c r="R38" s="34">
        <v>2.81E-3</v>
      </c>
      <c r="S38" s="34">
        <v>1.1386339999999999</v>
      </c>
      <c r="T38" s="8">
        <f xml:space="preserve"> $C$4/S38</f>
        <v>1.6102830233420047</v>
      </c>
      <c r="U38" s="11">
        <f xml:space="preserve"> 1 / ((($S$38-$Q$38-$R$38)/$S$38) + (($Q$38/$S$38)/A38) + ($R$38/$S$38))</f>
        <v>1</v>
      </c>
      <c r="V38">
        <v>0.26389075699999998</v>
      </c>
      <c r="W38">
        <v>0.115321091</v>
      </c>
      <c r="X38">
        <v>0.45258585499999998</v>
      </c>
      <c r="Y38" s="8">
        <f>$C$4/X38</f>
        <v>4.0512158737263233</v>
      </c>
      <c r="Z38" s="11">
        <f xml:space="preserve"> 1 / ((($X$38-$V$38-$W$38)/$X$38) + (($V$38/$X$38)/A38) + ($W$38/$X$38))</f>
        <v>1</v>
      </c>
      <c r="AA38">
        <v>0.25810304099999998</v>
      </c>
      <c r="AB38">
        <v>0.107281117</v>
      </c>
      <c r="AC38">
        <v>0.44401469700000001</v>
      </c>
      <c r="AD38" s="8">
        <f>$C$4/AC38</f>
        <v>4.1294196169366888</v>
      </c>
      <c r="AE38" s="13">
        <f xml:space="preserve"> 1 / ((($AC$38-$AA$38-$AB$38)/$AC$38) + (($AA$38/$AC$38)/A38) + ($AB$38/$AC$38))</f>
        <v>1</v>
      </c>
    </row>
    <row r="39" spans="1:34" x14ac:dyDescent="0.3">
      <c r="A39" s="3">
        <v>2</v>
      </c>
      <c r="B39">
        <v>1.007638</v>
      </c>
      <c r="C39">
        <v>4.3213000000000001E-2</v>
      </c>
      <c r="D39">
        <v>1.1195759999999999</v>
      </c>
      <c r="E39" s="8">
        <f t="shared" ref="E39:E45" si="12">$C$4/D39</f>
        <v>1.6376940913345768</v>
      </c>
      <c r="F39" s="11">
        <f t="shared" ref="F39:F45" si="13" xml:space="preserve"> 1 / ((($D$38-$B$38-$C$38)/$D$38) + (($B$38/$D$38)/A39) + ($C$38/$D$38))</f>
        <v>1.9310507224083764</v>
      </c>
      <c r="G39">
        <v>1.006578</v>
      </c>
      <c r="H39">
        <v>3.4758999999999998E-2</v>
      </c>
      <c r="I39">
        <v>1.1131850000000001</v>
      </c>
      <c r="J39" s="8">
        <f t="shared" ref="J39:J45" si="14">$C$4/I39</f>
        <v>1.6470963945795172</v>
      </c>
      <c r="K39" s="11">
        <f t="shared" ref="K39:K45" si="15" xml:space="preserve"> 1 / ((($I$38-$G$38-$H$38)/$I$38) + (($G$38/$I$38)/A39) + ($H$38/$I$38))</f>
        <v>1.9172956653008413</v>
      </c>
      <c r="L39">
        <v>1.018369836</v>
      </c>
      <c r="M39" s="34">
        <v>3.5184E-2</v>
      </c>
      <c r="N39">
        <v>1.1885485269999998</v>
      </c>
      <c r="O39" s="8">
        <f t="shared" ref="O39:O44" si="16">$C$4/N39</f>
        <v>1.5426572481882352</v>
      </c>
      <c r="P39" s="11">
        <f t="shared" ref="P39:P44" si="17" xml:space="preserve"> 1 / ((($N$38-$L$38-$M$38)/$N$38) + (($L$38/$N$38)/A39) + ($M$38/$N$38))</f>
        <v>1.8566138703296997</v>
      </c>
      <c r="Q39">
        <v>1.041812325</v>
      </c>
      <c r="R39" s="34">
        <v>4.0184699999999997E-2</v>
      </c>
      <c r="S39" s="34">
        <v>1.1848369999999999</v>
      </c>
      <c r="T39" s="8">
        <f t="shared" ref="T39:T44" si="18" xml:space="preserve"> $C$4/S39</f>
        <v>1.5474896546951185</v>
      </c>
      <c r="U39" s="11">
        <f t="shared" ref="U39:U44" si="19" xml:space="preserve"> 1 / ((($S$38-$Q$38-$R$38)/$S$38) + (($Q$38/$S$38)/A39) + ($R$38/$S$38))</f>
        <v>1.8799384482348822</v>
      </c>
      <c r="V39">
        <v>0.12887994</v>
      </c>
      <c r="W39">
        <v>0.14046979700000001</v>
      </c>
      <c r="X39">
        <v>0.33771071800000002</v>
      </c>
      <c r="Y39" s="8">
        <f t="shared" ref="Y39:Y42" si="20">$C$4/X39</f>
        <v>5.4292709774168317</v>
      </c>
      <c r="Z39" s="11">
        <f t="shared" ref="Z39:Z42" si="21" xml:space="preserve"> 1 / ((($X$38-$V$38-$W$38)/$X$38) + (($V$38/$X$38)/A39) + ($W$38/$X$38))</f>
        <v>1.4115056836874429</v>
      </c>
      <c r="AA39">
        <v>0.25012364300000001</v>
      </c>
      <c r="AB39">
        <v>0.18993501099999999</v>
      </c>
      <c r="AC39">
        <v>0.39425210300000002</v>
      </c>
      <c r="AD39" s="8">
        <f t="shared" ref="AD39:AD42" si="22">$C$4/AC39</f>
        <v>4.6506359409324443</v>
      </c>
      <c r="AE39" s="13">
        <f t="shared" ref="AE39:AE42" si="23" xml:space="preserve"> 1 / ((($AC$38-$AA$38-$AB$38)/$AC$38) + (($AA$38/$AC$38)/A39) + ($AB$38/$AC$38))</f>
        <v>1.4097352647191121</v>
      </c>
    </row>
    <row r="40" spans="1:34" x14ac:dyDescent="0.3">
      <c r="A40" s="3">
        <v>4</v>
      </c>
      <c r="B40">
        <v>0.50651999999999997</v>
      </c>
      <c r="C40">
        <v>7.7217999999999995E-2</v>
      </c>
      <c r="D40">
        <v>0.65427400000000002</v>
      </c>
      <c r="E40" s="8">
        <f t="shared" si="12"/>
        <v>2.8023779028358149</v>
      </c>
      <c r="F40" s="11">
        <f t="shared" si="13"/>
        <v>3.6129884979371414</v>
      </c>
      <c r="G40">
        <v>0.51406799999999997</v>
      </c>
      <c r="H40">
        <v>9.1689999999999994E-2</v>
      </c>
      <c r="I40">
        <v>0.66680899999999999</v>
      </c>
      <c r="J40" s="8">
        <f t="shared" si="14"/>
        <v>2.749697439596646</v>
      </c>
      <c r="K40" s="11">
        <f t="shared" si="15"/>
        <v>3.541679115625934</v>
      </c>
      <c r="L40">
        <v>1.0648632579999999</v>
      </c>
      <c r="M40" s="34">
        <v>6.5326999999999996E-2</v>
      </c>
      <c r="N40">
        <v>1.3145864399999998</v>
      </c>
      <c r="O40" s="8">
        <f t="shared" si="16"/>
        <v>1.3947527102135637</v>
      </c>
      <c r="P40" s="11">
        <f t="shared" si="17"/>
        <v>3.2475710910802489</v>
      </c>
      <c r="Q40">
        <v>1.0409648359999999</v>
      </c>
      <c r="R40" s="34">
        <v>7.2326500000000002E-2</v>
      </c>
      <c r="S40" s="34">
        <v>1.3101229999999999</v>
      </c>
      <c r="T40" s="8">
        <f t="shared" si="18"/>
        <v>1.3995044740074025</v>
      </c>
      <c r="U40" s="11">
        <f t="shared" si="19"/>
        <v>3.3568484611801299</v>
      </c>
      <c r="V40">
        <v>7.2493303999999995E-2</v>
      </c>
      <c r="W40">
        <v>0.126629769</v>
      </c>
      <c r="X40">
        <v>0.25930586100000003</v>
      </c>
      <c r="Y40" s="8">
        <f t="shared" si="20"/>
        <v>7.0708891535621703</v>
      </c>
      <c r="Z40" s="11">
        <f t="shared" si="21"/>
        <v>1.7771617678356373</v>
      </c>
      <c r="AA40">
        <v>7.8278425999999998E-2</v>
      </c>
      <c r="AB40">
        <v>0.121861104</v>
      </c>
      <c r="AC40">
        <v>0.26092309499999999</v>
      </c>
      <c r="AD40" s="8">
        <f t="shared" si="22"/>
        <v>7.0270628975944041</v>
      </c>
      <c r="AE40" s="13">
        <f t="shared" si="23"/>
        <v>1.7729567077020183</v>
      </c>
    </row>
    <row r="41" spans="1:34" x14ac:dyDescent="0.3">
      <c r="A41" s="3">
        <v>8</v>
      </c>
      <c r="B41">
        <v>0.25619700000000001</v>
      </c>
      <c r="C41">
        <v>0.118398</v>
      </c>
      <c r="D41">
        <v>0.45153100000000002</v>
      </c>
      <c r="E41" s="8">
        <f t="shared" si="12"/>
        <v>4.0606802190768736</v>
      </c>
      <c r="F41" s="11">
        <f t="shared" si="13"/>
        <v>6.4003121850693168</v>
      </c>
      <c r="G41">
        <v>0.25673099999999999</v>
      </c>
      <c r="H41">
        <v>9.6532999999999994E-2</v>
      </c>
      <c r="I41">
        <v>0.42132900000000001</v>
      </c>
      <c r="J41" s="8">
        <f t="shared" si="14"/>
        <v>4.3517607380455656</v>
      </c>
      <c r="K41" s="11">
        <f t="shared" si="15"/>
        <v>6.1446220302375822</v>
      </c>
      <c r="L41">
        <v>1.0649587389999999</v>
      </c>
      <c r="M41" s="34">
        <v>9.5641000000000004E-2</v>
      </c>
      <c r="N41">
        <v>1.5209395799999996</v>
      </c>
      <c r="O41" s="8">
        <f t="shared" si="16"/>
        <v>1.2055199457693122</v>
      </c>
      <c r="P41" s="11">
        <f t="shared" si="17"/>
        <v>5.1927503543540707</v>
      </c>
      <c r="Q41">
        <v>1.0649342040000001</v>
      </c>
      <c r="R41" s="34">
        <v>0.10541780000000001</v>
      </c>
      <c r="S41" s="34">
        <v>1.5117719999999999</v>
      </c>
      <c r="T41" s="8">
        <f t="shared" si="18"/>
        <v>1.2128303738923596</v>
      </c>
      <c r="U41" s="11">
        <f t="shared" si="19"/>
        <v>5.5284800954519477</v>
      </c>
      <c r="V41">
        <v>6.0919776000000002E-2</v>
      </c>
      <c r="W41">
        <v>0.13625173099999999</v>
      </c>
      <c r="X41">
        <v>0.240695088</v>
      </c>
      <c r="Y41" s="8">
        <f t="shared" si="20"/>
        <v>7.6176170242410599</v>
      </c>
      <c r="Z41" s="11">
        <f t="shared" si="21"/>
        <v>2.0416046090317161</v>
      </c>
      <c r="AA41">
        <v>5.9024736000000001E-2</v>
      </c>
      <c r="AB41">
        <v>0.142935746</v>
      </c>
      <c r="AC41">
        <v>0.25320154700000003</v>
      </c>
      <c r="AD41" s="8">
        <f>$C$4/AC41</f>
        <v>7.2413578105034242</v>
      </c>
      <c r="AE41" s="13">
        <f t="shared" si="23"/>
        <v>2.0351352861161032</v>
      </c>
    </row>
    <row r="42" spans="1:34" x14ac:dyDescent="0.3">
      <c r="A42" s="3">
        <v>16</v>
      </c>
      <c r="B42">
        <v>0.13081999999999999</v>
      </c>
      <c r="C42">
        <v>0.114271</v>
      </c>
      <c r="D42">
        <v>0.31677699999999998</v>
      </c>
      <c r="E42" s="8">
        <f t="shared" si="12"/>
        <v>5.788055951031799</v>
      </c>
      <c r="F42" s="11">
        <f t="shared" si="13"/>
        <v>10.419491093083675</v>
      </c>
      <c r="G42">
        <v>0.134629</v>
      </c>
      <c r="H42">
        <v>0.117523</v>
      </c>
      <c r="I42">
        <v>0.33444600000000002</v>
      </c>
      <c r="J42" s="8">
        <f t="shared" si="14"/>
        <v>5.4822691854589376</v>
      </c>
      <c r="K42" s="11">
        <f t="shared" si="15"/>
        <v>9.7144027863142792</v>
      </c>
      <c r="L42">
        <v>0.54700426599999996</v>
      </c>
      <c r="M42" s="34">
        <v>0.145286</v>
      </c>
      <c r="N42">
        <v>1.1712642300000007</v>
      </c>
      <c r="O42" s="8">
        <f t="shared" si="16"/>
        <v>1.5654221763435898</v>
      </c>
      <c r="P42" s="11">
        <f t="shared" si="17"/>
        <v>7.4127311517182122</v>
      </c>
      <c r="Q42">
        <v>0.56189365800000002</v>
      </c>
      <c r="R42" s="34">
        <v>0.1582634</v>
      </c>
      <c r="S42" s="34">
        <v>1.173791</v>
      </c>
      <c r="T42" s="8">
        <f t="shared" si="18"/>
        <v>1.5620523585544615</v>
      </c>
      <c r="U42" s="11">
        <f t="shared" si="19"/>
        <v>8.1717318990336274</v>
      </c>
      <c r="V42">
        <v>3.5633250999999998E-2</v>
      </c>
      <c r="W42">
        <v>0.15345383100000001</v>
      </c>
      <c r="X42">
        <v>0.25749429899999998</v>
      </c>
      <c r="Y42" s="8">
        <f t="shared" si="20"/>
        <v>7.1206353193862366</v>
      </c>
      <c r="Z42" s="11">
        <f t="shared" si="21"/>
        <v>2.2057101719835912</v>
      </c>
      <c r="AA42">
        <v>3.9817634999999997E-2</v>
      </c>
      <c r="AB42">
        <v>0.204649521</v>
      </c>
      <c r="AC42">
        <v>0.30750303800000001</v>
      </c>
      <c r="AD42" s="8">
        <f t="shared" si="22"/>
        <v>5.9626175140422513</v>
      </c>
      <c r="AE42" s="13">
        <f t="shared" si="23"/>
        <v>2.1976237033244055</v>
      </c>
    </row>
    <row r="43" spans="1:34" x14ac:dyDescent="0.3">
      <c r="A43" s="3">
        <v>32</v>
      </c>
      <c r="B43">
        <v>7.0437E-2</v>
      </c>
      <c r="C43">
        <v>0.13061800000000001</v>
      </c>
      <c r="D43">
        <v>0.275285</v>
      </c>
      <c r="E43" s="8">
        <f t="shared" si="12"/>
        <v>6.6604537116079703</v>
      </c>
      <c r="F43" s="11">
        <f t="shared" si="13"/>
        <v>15.188386944477468</v>
      </c>
      <c r="G43">
        <v>8.4344000000000002E-2</v>
      </c>
      <c r="H43">
        <v>0.14436099999999999</v>
      </c>
      <c r="I43">
        <v>0.291711</v>
      </c>
      <c r="J43" s="8">
        <f t="shared" si="14"/>
        <v>6.2854091892318085</v>
      </c>
      <c r="K43" s="11">
        <f t="shared" si="15"/>
        <v>13.691515472351893</v>
      </c>
      <c r="L43">
        <v>0.296927318</v>
      </c>
      <c r="M43" s="34">
        <v>0.22547300000000001</v>
      </c>
      <c r="N43">
        <v>0.85904912999999927</v>
      </c>
      <c r="O43" s="8">
        <f t="shared" si="16"/>
        <v>2.1343633745371484</v>
      </c>
      <c r="P43" s="11">
        <f t="shared" si="17"/>
        <v>9.4280493422936402</v>
      </c>
      <c r="Q43">
        <v>0.28799292999999998</v>
      </c>
      <c r="R43" s="34">
        <v>0.2456189</v>
      </c>
      <c r="S43" s="34">
        <v>0.97009000000000001</v>
      </c>
      <c r="T43" s="8">
        <f t="shared" si="18"/>
        <v>1.8900545310228949</v>
      </c>
      <c r="U43" s="11">
        <f t="shared" si="19"/>
        <v>10.738964335215206</v>
      </c>
      <c r="V43" s="17"/>
      <c r="W43" s="17"/>
      <c r="X43" s="17"/>
      <c r="Y43" s="17"/>
      <c r="Z43" s="18"/>
      <c r="AA43" s="17"/>
      <c r="AB43" s="17"/>
      <c r="AC43" s="17"/>
      <c r="AD43" s="17"/>
      <c r="AE43" s="17"/>
    </row>
    <row r="44" spans="1:34" x14ac:dyDescent="0.3">
      <c r="A44" s="3">
        <v>64</v>
      </c>
      <c r="B44">
        <v>5.4615999999999998E-2</v>
      </c>
      <c r="C44">
        <v>0.14677200000000001</v>
      </c>
      <c r="D44">
        <v>0.31840499999999999</v>
      </c>
      <c r="E44" s="8">
        <f t="shared" si="12"/>
        <v>5.7584617075736881</v>
      </c>
      <c r="F44" s="11">
        <f t="shared" si="13"/>
        <v>19.695633139673649</v>
      </c>
      <c r="G44">
        <v>8.9492000000000002E-2</v>
      </c>
      <c r="H44">
        <v>0.38211099999999998</v>
      </c>
      <c r="I44">
        <v>0.58205700000000005</v>
      </c>
      <c r="J44" s="8">
        <f t="shared" si="14"/>
        <v>3.1500746490463989</v>
      </c>
      <c r="K44" s="11">
        <f t="shared" si="15"/>
        <v>17.215575928111104</v>
      </c>
      <c r="L44">
        <v>0.192948971</v>
      </c>
      <c r="M44" s="34">
        <v>0.33581899999999998</v>
      </c>
      <c r="N44">
        <v>1.0498579900000005</v>
      </c>
      <c r="O44" s="8">
        <f t="shared" si="16"/>
        <v>1.7464485839651505</v>
      </c>
      <c r="P44" s="11">
        <f t="shared" si="17"/>
        <v>10.911289434970749</v>
      </c>
      <c r="Q44">
        <v>0.16893206599999999</v>
      </c>
      <c r="R44" s="34">
        <v>0.36527409999999999</v>
      </c>
      <c r="S44" s="34">
        <v>1.043571</v>
      </c>
      <c r="T44" s="8">
        <f t="shared" si="18"/>
        <v>1.7569700576194625</v>
      </c>
      <c r="U44" s="11">
        <f t="shared" si="19"/>
        <v>12.740195067201686</v>
      </c>
      <c r="V44" s="17"/>
      <c r="W44" s="17"/>
      <c r="X44" s="17"/>
      <c r="Y44" s="17"/>
      <c r="Z44" s="18"/>
      <c r="AA44" s="17"/>
      <c r="AB44" s="17"/>
      <c r="AC44" s="17"/>
      <c r="AD44" s="17"/>
      <c r="AE44" s="17"/>
    </row>
    <row r="45" spans="1:34" x14ac:dyDescent="0.3">
      <c r="A45" s="3">
        <v>128</v>
      </c>
      <c r="B45">
        <v>3.4470000000000001E-2</v>
      </c>
      <c r="C45">
        <v>0.21360399999999999</v>
      </c>
      <c r="D45">
        <v>0.32069399999999998</v>
      </c>
      <c r="E45" s="8">
        <f t="shared" si="12"/>
        <v>5.7173598508235273</v>
      </c>
      <c r="F45" s="11">
        <f t="shared" si="13"/>
        <v>23.127202072112691</v>
      </c>
      <c r="G45">
        <v>9.1230000000000006E-2</v>
      </c>
      <c r="H45">
        <v>0.26694299999999999</v>
      </c>
      <c r="I45">
        <v>1.1234329999999999</v>
      </c>
      <c r="J45" s="8">
        <f t="shared" si="14"/>
        <v>1.6320715165034321</v>
      </c>
      <c r="K45" s="11">
        <f t="shared" si="15"/>
        <v>19.758381803976047</v>
      </c>
      <c r="L45" s="17"/>
      <c r="M45" s="17"/>
      <c r="N45" s="17"/>
      <c r="O45" s="17"/>
      <c r="P45" s="18"/>
      <c r="Q45" s="17"/>
      <c r="R45" s="17"/>
      <c r="S45" s="17"/>
      <c r="T45" s="17"/>
      <c r="U45" s="18"/>
      <c r="V45" s="17"/>
      <c r="W45" s="17"/>
      <c r="X45" s="17"/>
      <c r="Y45" s="17"/>
      <c r="Z45" s="18"/>
      <c r="AA45" s="17"/>
      <c r="AB45" s="17"/>
      <c r="AC45" s="17"/>
      <c r="AD45" s="17"/>
      <c r="AE45" s="17"/>
    </row>
    <row r="49" spans="13:19" x14ac:dyDescent="0.3">
      <c r="R49" s="33"/>
      <c r="S49" s="33"/>
    </row>
    <row r="50" spans="13:19" x14ac:dyDescent="0.3">
      <c r="R50" s="34"/>
      <c r="S50" s="34"/>
    </row>
    <row r="51" spans="13:19" x14ac:dyDescent="0.3">
      <c r="M51" s="33"/>
      <c r="R51" s="34"/>
      <c r="S51" s="34"/>
    </row>
    <row r="52" spans="13:19" x14ac:dyDescent="0.3">
      <c r="M52" s="34"/>
      <c r="R52" s="34"/>
      <c r="S52" s="34"/>
    </row>
    <row r="53" spans="13:19" x14ac:dyDescent="0.3">
      <c r="M53" s="34"/>
      <c r="R53" s="34"/>
      <c r="S53" s="34"/>
    </row>
    <row r="54" spans="13:19" x14ac:dyDescent="0.3">
      <c r="M54" s="34"/>
      <c r="R54" s="34"/>
      <c r="S54" s="34"/>
    </row>
    <row r="55" spans="13:19" x14ac:dyDescent="0.3">
      <c r="M55" s="34"/>
      <c r="R55" s="34"/>
      <c r="S55" s="34"/>
    </row>
    <row r="56" spans="13:19" x14ac:dyDescent="0.3">
      <c r="M56" s="34"/>
      <c r="R56" s="34"/>
      <c r="S56" s="34"/>
    </row>
    <row r="57" spans="13:19" x14ac:dyDescent="0.3">
      <c r="M57" s="34"/>
    </row>
  </sheetData>
  <mergeCells count="13">
    <mergeCell ref="J2:O2"/>
    <mergeCell ref="P2:U2"/>
    <mergeCell ref="V2:AA2"/>
    <mergeCell ref="A36:A37"/>
    <mergeCell ref="B36:F36"/>
    <mergeCell ref="A2:A3"/>
    <mergeCell ref="B2:C2"/>
    <mergeCell ref="D2:I2"/>
    <mergeCell ref="G36:K36"/>
    <mergeCell ref="L36:P36"/>
    <mergeCell ref="V36:Z36"/>
    <mergeCell ref="AA36:AE36"/>
    <mergeCell ref="Q36:U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Hsian Tay</dc:creator>
  <cp:lastModifiedBy>SS C</cp:lastModifiedBy>
  <dcterms:created xsi:type="dcterms:W3CDTF">2015-06-05T18:17:20Z</dcterms:created>
  <dcterms:modified xsi:type="dcterms:W3CDTF">2026-09-16T19:09:37Z</dcterms:modified>
</cp:coreProperties>
</file>
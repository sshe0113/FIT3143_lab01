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2\graph\"/>
    </mc:Choice>
  </mc:AlternateContent>
  <xr:revisionPtr revIDLastSave="0" documentId="13_ncr:1_{F967F572-3A52-4FCB-B369-3DAD546E02A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WS" sheetId="2" r:id="rId1"/>
    <sheet name="CA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0" i="3" l="1"/>
  <c r="AM41" i="3"/>
  <c r="AM42" i="3"/>
  <c r="AM43" i="3"/>
  <c r="AM44" i="3"/>
  <c r="AM45" i="3"/>
  <c r="AM46" i="3"/>
  <c r="AM39" i="3"/>
  <c r="AF40" i="3"/>
  <c r="AF41" i="3"/>
  <c r="AF42" i="3"/>
  <c r="AF43" i="3"/>
  <c r="AF44" i="3"/>
  <c r="AF45" i="3"/>
  <c r="AF46" i="3"/>
  <c r="AF39" i="3"/>
  <c r="Y40" i="3"/>
  <c r="Y41" i="3"/>
  <c r="Y42" i="3"/>
  <c r="Y43" i="3"/>
  <c r="Y44" i="3"/>
  <c r="Y45" i="3"/>
  <c r="Y46" i="3"/>
  <c r="Y39" i="3"/>
  <c r="T40" i="3"/>
  <c r="T41" i="3"/>
  <c r="T42" i="3"/>
  <c r="T43" i="3"/>
  <c r="T44" i="3"/>
  <c r="T45" i="3"/>
  <c r="T46" i="3"/>
  <c r="T39" i="3"/>
  <c r="G40" i="3"/>
  <c r="G41" i="3"/>
  <c r="G42" i="3"/>
  <c r="G43" i="3"/>
  <c r="G44" i="3"/>
  <c r="G45" i="3"/>
  <c r="G46" i="3"/>
  <c r="O40" i="3"/>
  <c r="O41" i="3"/>
  <c r="O42" i="3"/>
  <c r="O43" i="3"/>
  <c r="O44" i="3"/>
  <c r="O45" i="3"/>
  <c r="O46" i="3"/>
  <c r="O39" i="3"/>
  <c r="K40" i="3"/>
  <c r="K41" i="3"/>
  <c r="K42" i="3"/>
  <c r="K43" i="3"/>
  <c r="K44" i="3"/>
  <c r="K45" i="3"/>
  <c r="K46" i="3"/>
  <c r="K39" i="3"/>
  <c r="G39" i="3"/>
  <c r="D40" i="3"/>
  <c r="D41" i="3"/>
  <c r="D42" i="3"/>
  <c r="D43" i="3"/>
  <c r="D44" i="3"/>
  <c r="D45" i="3"/>
  <c r="D46" i="3"/>
  <c r="D39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4" i="3"/>
  <c r="I34" i="3"/>
  <c r="F34" i="3"/>
  <c r="I33" i="3"/>
  <c r="F33" i="3"/>
  <c r="I32" i="3"/>
  <c r="F32" i="3"/>
  <c r="I31" i="3"/>
  <c r="F31" i="3"/>
  <c r="I30" i="3"/>
  <c r="F30" i="3"/>
  <c r="I29" i="3"/>
  <c r="F29" i="3"/>
  <c r="I28" i="3"/>
  <c r="F28" i="3"/>
  <c r="I27" i="3"/>
  <c r="F27" i="3"/>
  <c r="I26" i="3"/>
  <c r="F26" i="3"/>
  <c r="I25" i="3"/>
  <c r="F25" i="3"/>
  <c r="I24" i="3"/>
  <c r="F24" i="3"/>
  <c r="I23" i="3"/>
  <c r="F23" i="3"/>
  <c r="I22" i="3"/>
  <c r="F22" i="3"/>
  <c r="I21" i="3"/>
  <c r="F21" i="3"/>
  <c r="I20" i="3"/>
  <c r="F20" i="3"/>
  <c r="I19" i="3"/>
  <c r="F19" i="3"/>
  <c r="I18" i="3"/>
  <c r="F18" i="3"/>
  <c r="I17" i="3"/>
  <c r="F17" i="3"/>
  <c r="I16" i="3"/>
  <c r="F16" i="3"/>
  <c r="I15" i="3"/>
  <c r="F15" i="3"/>
  <c r="I14" i="3"/>
  <c r="F14" i="3"/>
  <c r="I13" i="3"/>
  <c r="F13" i="3"/>
  <c r="I12" i="3"/>
  <c r="F12" i="3"/>
  <c r="I11" i="3"/>
  <c r="F11" i="3"/>
  <c r="I10" i="3"/>
  <c r="F10" i="3"/>
  <c r="I9" i="3"/>
  <c r="F9" i="3"/>
  <c r="I8" i="3"/>
  <c r="F8" i="3"/>
  <c r="I7" i="3"/>
  <c r="F7" i="3"/>
  <c r="I6" i="3"/>
  <c r="F6" i="3"/>
  <c r="I5" i="3"/>
  <c r="F5" i="3"/>
  <c r="I4" i="3"/>
  <c r="F4" i="3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I20" i="2"/>
  <c r="F20" i="2"/>
  <c r="I19" i="2"/>
  <c r="F19" i="2"/>
  <c r="I18" i="2"/>
  <c r="F18" i="2"/>
  <c r="I17" i="2"/>
  <c r="F17" i="2"/>
  <c r="I16" i="2"/>
  <c r="F16" i="2"/>
  <c r="I15" i="2"/>
  <c r="F15" i="2"/>
  <c r="I14" i="2"/>
  <c r="F14" i="2"/>
  <c r="I13" i="2"/>
  <c r="F13" i="2"/>
  <c r="I12" i="2"/>
  <c r="F12" i="2"/>
  <c r="I11" i="2"/>
  <c r="F11" i="2"/>
  <c r="I10" i="2"/>
  <c r="F10" i="2"/>
  <c r="I9" i="2"/>
  <c r="F9" i="2"/>
  <c r="I8" i="2"/>
  <c r="F8" i="2"/>
  <c r="I7" i="2"/>
  <c r="F7" i="2"/>
  <c r="I6" i="2"/>
  <c r="F6" i="2"/>
  <c r="I5" i="2"/>
  <c r="F5" i="2"/>
  <c r="I4" i="2"/>
  <c r="F4" i="2"/>
</calcChain>
</file>

<file path=xl/sharedStrings.xml><?xml version="1.0" encoding="utf-8"?>
<sst xmlns="http://schemas.openxmlformats.org/spreadsheetml/2006/main" count="119" uniqueCount="30">
  <si>
    <t>N</t>
  </si>
  <si>
    <t>Serial Code</t>
  </si>
  <si>
    <t>POSIX</t>
  </si>
  <si>
    <t>OpenMP</t>
  </si>
  <si>
    <t>Overall</t>
  </si>
  <si>
    <t xml:space="preserve">Comp </t>
  </si>
  <si>
    <t>Comp</t>
  </si>
  <si>
    <t>E Speedup</t>
  </si>
  <si>
    <t>POSIX (Threads = 2)</t>
  </si>
  <si>
    <t>OpenMP (Threads = 2)</t>
  </si>
  <si>
    <t>Open MPI Block-Cyclic (Processes = 2)</t>
  </si>
  <si>
    <t>T/P</t>
  </si>
  <si>
    <t>Size of N</t>
  </si>
  <si>
    <t>Number of Threads/Processes</t>
  </si>
  <si>
    <t>Open MPI Block-Cyclic</t>
  </si>
  <si>
    <t>Comm</t>
  </si>
  <si>
    <t>Open MPI Cyclic (Processes = 2)</t>
  </si>
  <si>
    <t>Open MPI Cyclic</t>
  </si>
  <si>
    <t>Hybrid</t>
  </si>
  <si>
    <t>POSIX (Threads = 16)</t>
  </si>
  <si>
    <t>OpenMP (Threads = 16)</t>
  </si>
  <si>
    <t>Open MPI Block-Cyclic (Processes = 16)</t>
  </si>
  <si>
    <t>Open MPI Cyclic (Processes = 16)</t>
  </si>
  <si>
    <t>Hybrid Block-Cyclic (Ttl Workers)</t>
  </si>
  <si>
    <t>Hybrid Block-Cyclic (Processes = 4)</t>
  </si>
  <si>
    <t>Hybrid Cyclic (Processes = 4)</t>
  </si>
  <si>
    <t>Workers</t>
  </si>
  <si>
    <t>Processes</t>
  </si>
  <si>
    <t>Threads</t>
  </si>
  <si>
    <t>Hybrid Cyclic (Ttl Workers)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</si>
</sst>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vertical="center"/>
    </xf>
    <xf numFmtId="0" fontId="0" fillId="2" borderId="6" xfId="0" applyFill="1" applyBorder="1"/>
    <xf numFmtId="0" fontId="0" fillId="2" borderId="3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FFDE-C92F-4236-A4C5-09E8F5CC1338}">
  <dimension ref="A1:S43"/>
  <sheetViews>
    <sheetView topLeftCell="C36" zoomScale="84" zoomScaleNormal="85" workbookViewId="0">
      <selection activeCell="O35" sqref="O35"/>
    </sheetView>
  </sheetViews>
  <sheetFormatPr defaultRowHeight="14.5" x14ac:dyDescent="0.35"/>
  <cols>
    <col min="1" max="1" width="12.54296875" customWidth="1"/>
    <col min="2" max="19" width="12.6328125" customWidth="1"/>
  </cols>
  <sheetData>
    <row r="1" spans="1:17" s="1" customFormat="1" ht="30" customHeight="1" x14ac:dyDescent="0.35">
      <c r="A1" s="12" t="s">
        <v>12</v>
      </c>
    </row>
    <row r="2" spans="1:17" x14ac:dyDescent="0.35">
      <c r="A2" s="20" t="s">
        <v>0</v>
      </c>
      <c r="B2" s="17" t="s">
        <v>1</v>
      </c>
      <c r="C2" s="19"/>
      <c r="D2" s="17" t="s">
        <v>8</v>
      </c>
      <c r="E2" s="18"/>
      <c r="F2" s="19"/>
      <c r="G2" s="17" t="s">
        <v>9</v>
      </c>
      <c r="H2" s="18"/>
      <c r="I2" s="19"/>
      <c r="J2" s="17" t="s">
        <v>10</v>
      </c>
      <c r="K2" s="18"/>
      <c r="L2" s="18"/>
      <c r="M2" s="19"/>
      <c r="N2" s="17" t="s">
        <v>16</v>
      </c>
      <c r="O2" s="18"/>
      <c r="P2" s="18"/>
      <c r="Q2" s="18"/>
    </row>
    <row r="3" spans="1:17" ht="15" thickBot="1" x14ac:dyDescent="0.4">
      <c r="A3" s="21"/>
      <c r="B3" s="5" t="s">
        <v>5</v>
      </c>
      <c r="C3" s="2" t="s">
        <v>4</v>
      </c>
      <c r="D3" s="5" t="s">
        <v>6</v>
      </c>
      <c r="E3" s="6" t="s">
        <v>4</v>
      </c>
      <c r="F3" s="8" t="s">
        <v>7</v>
      </c>
      <c r="G3" s="5" t="s">
        <v>6</v>
      </c>
      <c r="H3" s="6" t="s">
        <v>4</v>
      </c>
      <c r="I3" s="8" t="s">
        <v>7</v>
      </c>
      <c r="J3" s="5" t="s">
        <v>6</v>
      </c>
      <c r="K3" s="6" t="s">
        <v>15</v>
      </c>
      <c r="L3" s="6" t="s">
        <v>4</v>
      </c>
      <c r="M3" s="8" t="s">
        <v>7</v>
      </c>
      <c r="N3" s="5" t="s">
        <v>6</v>
      </c>
      <c r="O3" s="6" t="s">
        <v>15</v>
      </c>
      <c r="P3" s="6" t="s">
        <v>4</v>
      </c>
      <c r="Q3" s="10" t="s">
        <v>7</v>
      </c>
    </row>
    <row r="4" spans="1:17" x14ac:dyDescent="0.35">
      <c r="A4" s="3">
        <v>10000000</v>
      </c>
      <c r="B4">
        <v>2.6740810000000002</v>
      </c>
      <c r="C4" s="7">
        <v>2.7779940000000001</v>
      </c>
      <c r="D4">
        <v>2.5454850000000002</v>
      </c>
      <c r="E4">
        <v>2.626128</v>
      </c>
      <c r="F4" s="9">
        <f>C4/E4</f>
        <v>1.0578288643965565</v>
      </c>
      <c r="G4">
        <v>1.9735229999999999</v>
      </c>
      <c r="H4">
        <v>2.057572</v>
      </c>
      <c r="I4" s="9">
        <f>C4/H4</f>
        <v>1.3501320974430058</v>
      </c>
      <c r="J4">
        <v>5.2082949999999997</v>
      </c>
      <c r="K4">
        <v>4.2512000000000001E-2</v>
      </c>
      <c r="L4">
        <v>5.3272899999999996</v>
      </c>
      <c r="M4" s="9"/>
      <c r="N4">
        <v>5.2143259999999998</v>
      </c>
      <c r="O4">
        <v>2.9704999999999999E-2</v>
      </c>
      <c r="P4">
        <v>5.3192459999999997</v>
      </c>
      <c r="Q4" s="11"/>
    </row>
    <row r="5" spans="1:17" x14ac:dyDescent="0.35">
      <c r="A5" s="3">
        <v>11000000</v>
      </c>
      <c r="B5">
        <v>3.2079930000000001</v>
      </c>
      <c r="C5" s="4">
        <v>3.3106930000000001</v>
      </c>
      <c r="D5">
        <v>2.9233500000000001</v>
      </c>
      <c r="E5">
        <v>3.0153150000000002</v>
      </c>
      <c r="F5" s="9">
        <f t="shared" ref="F5:F34" si="0">C5/E5</f>
        <v>1.0979592513551653</v>
      </c>
      <c r="G5">
        <v>2.2711489999999999</v>
      </c>
      <c r="H5">
        <v>2.3602690000000002</v>
      </c>
      <c r="I5" s="9">
        <f t="shared" ref="I5:I34" si="1">C5/H5</f>
        <v>1.4026761356438608</v>
      </c>
      <c r="J5">
        <v>5.9534440000000002</v>
      </c>
      <c r="K5">
        <v>3.1723000000000001E-2</v>
      </c>
      <c r="L5">
        <v>6.0664920000000002</v>
      </c>
      <c r="M5" s="9"/>
      <c r="N5">
        <v>6.7125820000000003</v>
      </c>
      <c r="O5">
        <v>9.4836000000000004E-2</v>
      </c>
      <c r="P5">
        <v>6.8265380000000002</v>
      </c>
      <c r="Q5" s="11"/>
    </row>
    <row r="6" spans="1:17" x14ac:dyDescent="0.35">
      <c r="A6" s="3">
        <v>12000000</v>
      </c>
      <c r="B6">
        <v>3.4596089999999999</v>
      </c>
      <c r="C6" s="4">
        <v>3.5601029999999998</v>
      </c>
      <c r="D6">
        <v>3.284821</v>
      </c>
      <c r="E6">
        <v>3.383394</v>
      </c>
      <c r="F6" s="9">
        <f t="shared" si="0"/>
        <v>1.0522283245758548</v>
      </c>
      <c r="G6">
        <v>2.5650909999999998</v>
      </c>
      <c r="H6">
        <v>2.663611</v>
      </c>
      <c r="I6" s="9">
        <f t="shared" si="1"/>
        <v>1.3365701673405013</v>
      </c>
      <c r="J6">
        <v>6.7302169999999997</v>
      </c>
      <c r="K6">
        <v>2.0990000000000002E-2</v>
      </c>
      <c r="L6">
        <v>6.8541400000000001</v>
      </c>
      <c r="M6" s="9"/>
      <c r="N6">
        <v>6.7437459999999998</v>
      </c>
      <c r="O6">
        <v>4.3664000000000001E-2</v>
      </c>
      <c r="P6">
        <v>6.8679759999999996</v>
      </c>
      <c r="Q6" s="11"/>
    </row>
    <row r="7" spans="1:17" x14ac:dyDescent="0.35">
      <c r="A7" s="3">
        <v>13000000</v>
      </c>
      <c r="B7">
        <v>3.7968999999999999</v>
      </c>
      <c r="C7" s="4">
        <v>3.9028689999999999</v>
      </c>
      <c r="D7">
        <v>3.7214420000000001</v>
      </c>
      <c r="E7">
        <v>3.827537</v>
      </c>
      <c r="F7" s="9">
        <f t="shared" si="0"/>
        <v>1.0196815863569706</v>
      </c>
      <c r="G7">
        <v>2.8716020000000002</v>
      </c>
      <c r="H7">
        <v>2.9773260000000001</v>
      </c>
      <c r="I7" s="9">
        <f t="shared" si="1"/>
        <v>1.3108638422530821</v>
      </c>
      <c r="J7">
        <v>7.6275700000000004</v>
      </c>
      <c r="K7">
        <v>2.2880000000000001E-2</v>
      </c>
      <c r="L7">
        <v>7.7613120000000002</v>
      </c>
      <c r="M7" s="9"/>
      <c r="N7">
        <v>7.5443199999999999</v>
      </c>
      <c r="O7">
        <v>2.3146E-2</v>
      </c>
      <c r="P7">
        <v>7.6799869999999997</v>
      </c>
      <c r="Q7" s="11"/>
    </row>
    <row r="8" spans="1:17" x14ac:dyDescent="0.35">
      <c r="A8" s="3">
        <v>14000000</v>
      </c>
      <c r="B8">
        <v>4.1863650000000003</v>
      </c>
      <c r="C8" s="4">
        <v>4.2990310000000003</v>
      </c>
      <c r="D8">
        <v>4.1508039999999999</v>
      </c>
      <c r="E8">
        <v>4.2646730000000002</v>
      </c>
      <c r="F8" s="9">
        <f t="shared" si="0"/>
        <v>1.0080564207384717</v>
      </c>
      <c r="G8">
        <v>3.3787449999999999</v>
      </c>
      <c r="H8">
        <v>3.5484789999999999</v>
      </c>
      <c r="I8" s="9">
        <f t="shared" si="1"/>
        <v>1.2115137217946057</v>
      </c>
      <c r="J8">
        <v>8.3833970000000004</v>
      </c>
      <c r="K8">
        <v>3.1149E-2</v>
      </c>
      <c r="L8">
        <v>8.528295</v>
      </c>
      <c r="M8" s="9"/>
      <c r="N8">
        <v>8.3814329999999995</v>
      </c>
      <c r="O8">
        <v>3.2361000000000001E-2</v>
      </c>
      <c r="P8">
        <v>8.5280120000000004</v>
      </c>
      <c r="Q8" s="11"/>
    </row>
    <row r="9" spans="1:17" x14ac:dyDescent="0.35">
      <c r="A9" s="3">
        <v>15000000</v>
      </c>
      <c r="B9">
        <v>4.5965920000000002</v>
      </c>
      <c r="C9" s="4">
        <v>4.7183619999999999</v>
      </c>
      <c r="D9">
        <v>4.5545710000000001</v>
      </c>
      <c r="E9">
        <v>4.6784179999999997</v>
      </c>
      <c r="F9" s="9">
        <f t="shared" si="0"/>
        <v>1.0085379288468881</v>
      </c>
      <c r="G9">
        <v>3.5200849999999999</v>
      </c>
      <c r="H9">
        <v>3.645003</v>
      </c>
      <c r="I9" s="9">
        <f t="shared" si="1"/>
        <v>1.2944741060569771</v>
      </c>
      <c r="J9">
        <v>9.2575450000000004</v>
      </c>
      <c r="K9">
        <v>2.5939E-2</v>
      </c>
      <c r="L9">
        <v>9.4122479999999999</v>
      </c>
      <c r="M9" s="9"/>
      <c r="N9">
        <v>9.2622669999999996</v>
      </c>
      <c r="O9">
        <v>4.5803999999999997E-2</v>
      </c>
      <c r="P9">
        <v>9.4259059999999995</v>
      </c>
      <c r="Q9" s="11"/>
    </row>
    <row r="10" spans="1:17" x14ac:dyDescent="0.35">
      <c r="A10" s="3">
        <v>16000000</v>
      </c>
      <c r="B10">
        <v>5.0217349999999996</v>
      </c>
      <c r="C10" s="4">
        <v>5.1511930000000001</v>
      </c>
      <c r="D10">
        <v>5.0555190000000003</v>
      </c>
      <c r="E10">
        <v>5.1873319999999996</v>
      </c>
      <c r="F10" s="9">
        <f t="shared" si="0"/>
        <v>0.99303322016019036</v>
      </c>
      <c r="G10">
        <v>3.8523200000000002</v>
      </c>
      <c r="H10">
        <v>3.981973</v>
      </c>
      <c r="I10" s="9">
        <f t="shared" si="1"/>
        <v>1.2936283093833132</v>
      </c>
      <c r="J10">
        <v>10.138229000000001</v>
      </c>
      <c r="K10">
        <v>2.9950000000000001E-2</v>
      </c>
      <c r="L10">
        <v>10.301231</v>
      </c>
      <c r="M10" s="9"/>
      <c r="N10">
        <v>10.159753</v>
      </c>
      <c r="O10">
        <v>3.3147999999999997E-2</v>
      </c>
      <c r="P10">
        <v>10.321654000000001</v>
      </c>
      <c r="Q10" s="11"/>
    </row>
    <row r="11" spans="1:17" x14ac:dyDescent="0.35">
      <c r="A11" s="3">
        <v>17000000</v>
      </c>
      <c r="B11">
        <v>5.4685040000000003</v>
      </c>
      <c r="C11" s="4">
        <v>5.6044499999999999</v>
      </c>
      <c r="D11">
        <v>5.4202769999999996</v>
      </c>
      <c r="E11">
        <v>5.5576499999999998</v>
      </c>
      <c r="F11" s="9">
        <f t="shared" si="0"/>
        <v>1.0084208253488436</v>
      </c>
      <c r="G11">
        <v>4.2834250000000003</v>
      </c>
      <c r="H11">
        <v>4.4218640000000002</v>
      </c>
      <c r="I11" s="9">
        <f t="shared" si="1"/>
        <v>1.2674406087568499</v>
      </c>
      <c r="J11">
        <v>11.057363</v>
      </c>
      <c r="K11">
        <v>6.7851999999999996E-2</v>
      </c>
      <c r="L11">
        <v>11.230981999999999</v>
      </c>
      <c r="M11" s="9"/>
      <c r="N11">
        <v>11.067470999999999</v>
      </c>
      <c r="O11">
        <v>8.3321999999999993E-2</v>
      </c>
      <c r="P11">
        <v>11.240166</v>
      </c>
      <c r="Q11" s="11"/>
    </row>
    <row r="12" spans="1:17" x14ac:dyDescent="0.35">
      <c r="A12" s="3">
        <v>18000000</v>
      </c>
      <c r="B12">
        <v>5.9231610000000003</v>
      </c>
      <c r="C12" s="4">
        <v>6.0687389999999999</v>
      </c>
      <c r="D12">
        <v>6.5839270000000001</v>
      </c>
      <c r="E12">
        <v>6.7279229999999997</v>
      </c>
      <c r="F12" s="9">
        <f t="shared" si="0"/>
        <v>0.90202265989072705</v>
      </c>
      <c r="G12">
        <v>4.5332330000000001</v>
      </c>
      <c r="H12">
        <v>4.6793630000000004</v>
      </c>
      <c r="I12" s="9">
        <f t="shared" si="1"/>
        <v>1.2969156271911368</v>
      </c>
      <c r="J12">
        <v>11.981453</v>
      </c>
      <c r="K12">
        <v>3.1165999999999999E-2</v>
      </c>
      <c r="L12">
        <v>12.163487999999999</v>
      </c>
      <c r="M12" s="9"/>
      <c r="N12">
        <v>11.979504</v>
      </c>
      <c r="O12">
        <v>3.1468999999999997E-2</v>
      </c>
      <c r="P12">
        <v>12.161051</v>
      </c>
      <c r="Q12" s="11"/>
    </row>
    <row r="13" spans="1:17" x14ac:dyDescent="0.35">
      <c r="A13" s="3">
        <v>19000000</v>
      </c>
      <c r="B13">
        <v>6.6789560000000003</v>
      </c>
      <c r="C13" s="4">
        <v>6.8336350000000001</v>
      </c>
      <c r="D13">
        <v>6.3938509999999997</v>
      </c>
      <c r="E13">
        <v>6.5486550000000001</v>
      </c>
      <c r="F13" s="9">
        <f t="shared" si="0"/>
        <v>1.0435173329485214</v>
      </c>
      <c r="G13">
        <v>4.888725</v>
      </c>
      <c r="H13">
        <v>5.055466</v>
      </c>
      <c r="I13" s="9">
        <f t="shared" si="1"/>
        <v>1.3517319669442935</v>
      </c>
      <c r="J13">
        <v>12.934053</v>
      </c>
      <c r="K13">
        <v>3.2475999999999998E-2</v>
      </c>
      <c r="L13">
        <v>13.127452999999999</v>
      </c>
      <c r="M13" s="9"/>
      <c r="N13">
        <v>12.942036999999999</v>
      </c>
      <c r="O13">
        <v>3.7985999999999999E-2</v>
      </c>
      <c r="P13">
        <v>13.135764</v>
      </c>
      <c r="Q13" s="11"/>
    </row>
    <row r="14" spans="1:17" x14ac:dyDescent="0.35">
      <c r="A14" s="3">
        <v>20000000</v>
      </c>
      <c r="B14">
        <v>8.8845200000000002</v>
      </c>
      <c r="C14" s="4">
        <v>9.0465149999999994</v>
      </c>
      <c r="D14">
        <v>6.9001429999999999</v>
      </c>
      <c r="E14">
        <v>7.0573709999999998</v>
      </c>
      <c r="F14" s="9">
        <f t="shared" si="0"/>
        <v>1.2818533983830522</v>
      </c>
      <c r="G14">
        <v>5.2712019999999997</v>
      </c>
      <c r="H14">
        <v>5.4258509999999998</v>
      </c>
      <c r="I14" s="9">
        <f t="shared" si="1"/>
        <v>1.6672988255667176</v>
      </c>
      <c r="J14">
        <v>14.02108</v>
      </c>
      <c r="K14">
        <v>7.1526999999999993E-2</v>
      </c>
      <c r="L14">
        <v>14.220395999999999</v>
      </c>
      <c r="M14" s="9"/>
      <c r="N14">
        <v>13.937218</v>
      </c>
      <c r="O14">
        <v>7.4054999999999996E-2</v>
      </c>
      <c r="P14">
        <v>14.140298</v>
      </c>
      <c r="Q14" s="11"/>
    </row>
    <row r="15" spans="1:17" x14ac:dyDescent="0.35">
      <c r="A15" s="3">
        <v>21000000</v>
      </c>
      <c r="B15">
        <v>7.4257840000000002</v>
      </c>
      <c r="C15" s="4">
        <v>7.5997700000000004</v>
      </c>
      <c r="D15">
        <v>7.3117359999999998</v>
      </c>
      <c r="E15">
        <v>7.4795800000000003</v>
      </c>
      <c r="F15" s="9">
        <f t="shared" si="0"/>
        <v>1.0160690840929572</v>
      </c>
      <c r="G15">
        <v>5.6571530000000001</v>
      </c>
      <c r="H15">
        <v>5.8236980000000003</v>
      </c>
      <c r="I15" s="9">
        <f t="shared" si="1"/>
        <v>1.3049732317850273</v>
      </c>
      <c r="J15">
        <v>14.934986</v>
      </c>
      <c r="K15">
        <v>3.7073000000000002E-2</v>
      </c>
      <c r="L15">
        <v>15.14715</v>
      </c>
      <c r="M15" s="9"/>
      <c r="N15">
        <v>15.019658</v>
      </c>
      <c r="O15">
        <v>0.10940800000000001</v>
      </c>
      <c r="P15">
        <v>15.235003000000001</v>
      </c>
      <c r="Q15" s="11"/>
    </row>
    <row r="16" spans="1:17" x14ac:dyDescent="0.35">
      <c r="A16" s="3">
        <v>22000000</v>
      </c>
      <c r="B16">
        <v>7.8752579999999996</v>
      </c>
      <c r="C16" s="4">
        <v>8.0487730000000006</v>
      </c>
      <c r="D16">
        <v>7.7810199999999998</v>
      </c>
      <c r="E16">
        <v>7.9512299999999998</v>
      </c>
      <c r="F16" s="9">
        <f t="shared" si="0"/>
        <v>1.012267661732839</v>
      </c>
      <c r="G16">
        <v>6.033366</v>
      </c>
      <c r="H16">
        <v>6.2037750000000003</v>
      </c>
      <c r="I16" s="9">
        <f t="shared" si="1"/>
        <v>1.2973992448146492</v>
      </c>
      <c r="J16">
        <v>15.928922</v>
      </c>
      <c r="K16">
        <v>3.7682E-2</v>
      </c>
      <c r="L16">
        <v>16.148375999999999</v>
      </c>
      <c r="M16" s="9"/>
      <c r="N16">
        <v>15.934134</v>
      </c>
      <c r="O16">
        <v>4.8514000000000002E-2</v>
      </c>
      <c r="P16">
        <v>16.153123000000001</v>
      </c>
      <c r="Q16" s="11"/>
    </row>
    <row r="17" spans="1:17" x14ac:dyDescent="0.35">
      <c r="A17" s="3">
        <v>23000000</v>
      </c>
      <c r="B17">
        <v>8.4138110000000008</v>
      </c>
      <c r="C17" s="4">
        <v>8.5980670000000003</v>
      </c>
      <c r="D17">
        <v>8.3188060000000004</v>
      </c>
      <c r="E17">
        <v>8.4995510000000003</v>
      </c>
      <c r="F17" s="9">
        <f t="shared" si="0"/>
        <v>1.0115907299103211</v>
      </c>
      <c r="G17">
        <v>6.4366079999999997</v>
      </c>
      <c r="H17">
        <v>6.6168779999999998</v>
      </c>
      <c r="I17" s="9">
        <f t="shared" si="1"/>
        <v>1.299414467064377</v>
      </c>
      <c r="J17">
        <v>16.992974</v>
      </c>
      <c r="K17">
        <v>5.1263000000000003E-2</v>
      </c>
      <c r="L17">
        <v>17.227228</v>
      </c>
      <c r="M17" s="9"/>
      <c r="N17">
        <v>16.968349</v>
      </c>
      <c r="O17">
        <v>4.0381E-2</v>
      </c>
      <c r="P17">
        <v>17.202893</v>
      </c>
      <c r="Q17" s="11"/>
    </row>
    <row r="18" spans="1:17" x14ac:dyDescent="0.35">
      <c r="A18" s="3">
        <v>24000000</v>
      </c>
      <c r="B18">
        <v>8.8824590000000008</v>
      </c>
      <c r="C18" s="4">
        <v>9.0724110000000007</v>
      </c>
      <c r="D18">
        <v>8.8309899999999999</v>
      </c>
      <c r="E18">
        <v>9.0195530000000002</v>
      </c>
      <c r="F18" s="9">
        <f t="shared" si="0"/>
        <v>1.0058603791119138</v>
      </c>
      <c r="G18">
        <v>6.8264079999999998</v>
      </c>
      <c r="H18">
        <v>7.0147700000000004</v>
      </c>
      <c r="I18" s="9">
        <f t="shared" si="1"/>
        <v>1.2933297884321224</v>
      </c>
      <c r="J18">
        <v>18.046187</v>
      </c>
      <c r="K18">
        <v>6.2380999999999999E-2</v>
      </c>
      <c r="L18">
        <v>18.283653999999999</v>
      </c>
      <c r="M18" s="9"/>
      <c r="N18">
        <v>18.03434</v>
      </c>
      <c r="O18">
        <v>5.7554000000000001E-2</v>
      </c>
      <c r="P18">
        <v>18.268635</v>
      </c>
      <c r="Q18" s="11"/>
    </row>
    <row r="19" spans="1:17" x14ac:dyDescent="0.35">
      <c r="A19" s="3">
        <v>25000000</v>
      </c>
      <c r="B19">
        <v>9.4425179999999997</v>
      </c>
      <c r="C19" s="4">
        <v>9.6381429999999995</v>
      </c>
      <c r="D19">
        <v>10.411607999999999</v>
      </c>
      <c r="E19">
        <v>10.694179999999999</v>
      </c>
      <c r="F19" s="9">
        <f t="shared" si="0"/>
        <v>0.90125124132939605</v>
      </c>
      <c r="G19">
        <v>7.4325419999999998</v>
      </c>
      <c r="H19">
        <v>7.6393110000000002</v>
      </c>
      <c r="I19" s="9">
        <f t="shared" si="1"/>
        <v>1.2616508216513243</v>
      </c>
      <c r="J19">
        <v>19.122198999999998</v>
      </c>
      <c r="K19">
        <v>7.3304999999999995E-2</v>
      </c>
      <c r="L19">
        <v>19.371687000000001</v>
      </c>
      <c r="M19" s="9"/>
      <c r="N19">
        <v>19.211641</v>
      </c>
      <c r="O19">
        <v>6.4788999999999999E-2</v>
      </c>
      <c r="P19">
        <v>19.461760999999999</v>
      </c>
      <c r="Q19" s="11"/>
    </row>
    <row r="20" spans="1:17" x14ac:dyDescent="0.35">
      <c r="A20" s="3">
        <v>26000000</v>
      </c>
      <c r="B20">
        <v>9.9424949999999992</v>
      </c>
      <c r="C20" s="4">
        <v>10.143153999999999</v>
      </c>
      <c r="D20">
        <v>9.9512260000000001</v>
      </c>
      <c r="E20">
        <v>10.157436000000001</v>
      </c>
      <c r="F20" s="9">
        <f t="shared" si="0"/>
        <v>0.99859393650129802</v>
      </c>
      <c r="G20">
        <v>7.6686360000000002</v>
      </c>
      <c r="H20">
        <v>7.8767889999999996</v>
      </c>
      <c r="I20" s="9">
        <f t="shared" si="1"/>
        <v>1.2877270166815438</v>
      </c>
      <c r="J20">
        <v>20.211766000000001</v>
      </c>
      <c r="K20">
        <v>4.3770999999999997E-2</v>
      </c>
      <c r="L20">
        <v>20.467604000000001</v>
      </c>
      <c r="M20" s="9"/>
      <c r="N20">
        <v>20.248835</v>
      </c>
      <c r="O20">
        <v>7.4286000000000005E-2</v>
      </c>
      <c r="P20">
        <v>20.507749</v>
      </c>
      <c r="Q20" s="11"/>
    </row>
    <row r="21" spans="1:17" x14ac:dyDescent="0.35">
      <c r="A21" s="3">
        <v>27000000</v>
      </c>
      <c r="B21">
        <v>10.79247</v>
      </c>
      <c r="C21" s="4">
        <v>11.004873999999999</v>
      </c>
      <c r="D21">
        <v>10.394740000000001</v>
      </c>
      <c r="E21">
        <v>10.602294000000001</v>
      </c>
      <c r="F21" s="9">
        <f t="shared" si="0"/>
        <v>1.0379710277794596</v>
      </c>
      <c r="G21">
        <v>8.0756990000000002</v>
      </c>
      <c r="H21">
        <v>8.2862139999999993</v>
      </c>
      <c r="I21" s="9">
        <f t="shared" si="1"/>
        <v>1.328094350447623</v>
      </c>
      <c r="J21">
        <v>21.343899</v>
      </c>
      <c r="K21">
        <v>0.11015999999999999</v>
      </c>
      <c r="L21">
        <v>21.607165999999999</v>
      </c>
      <c r="M21" s="9"/>
      <c r="N21">
        <v>21.325261000000001</v>
      </c>
      <c r="O21">
        <v>6.3510999999999998E-2</v>
      </c>
      <c r="P21">
        <v>21.588849</v>
      </c>
      <c r="Q21" s="11"/>
    </row>
    <row r="22" spans="1:17" x14ac:dyDescent="0.35">
      <c r="A22" s="3">
        <v>28000000</v>
      </c>
      <c r="B22">
        <v>11.13522</v>
      </c>
      <c r="C22" s="4">
        <v>11.356781</v>
      </c>
      <c r="D22">
        <v>11.001523000000001</v>
      </c>
      <c r="E22">
        <v>11.220086</v>
      </c>
      <c r="F22" s="9">
        <f t="shared" si="0"/>
        <v>1.0121830616984575</v>
      </c>
      <c r="G22">
        <v>8.5734180000000002</v>
      </c>
      <c r="H22">
        <v>8.7877589999999994</v>
      </c>
      <c r="I22" s="9">
        <f t="shared" si="1"/>
        <v>1.2923409711167546</v>
      </c>
      <c r="J22">
        <v>22.553287000000001</v>
      </c>
      <c r="K22">
        <v>5.5646000000000001E-2</v>
      </c>
      <c r="L22">
        <v>22.829419999999999</v>
      </c>
      <c r="M22" s="9"/>
      <c r="N22">
        <v>22.465097</v>
      </c>
      <c r="O22">
        <v>5.2937999999999999E-2</v>
      </c>
      <c r="P22">
        <v>22.742363000000001</v>
      </c>
      <c r="Q22" s="11"/>
    </row>
    <row r="23" spans="1:17" x14ac:dyDescent="0.35">
      <c r="A23" s="3">
        <v>29000000</v>
      </c>
      <c r="B23">
        <v>11.719099</v>
      </c>
      <c r="C23" s="4">
        <v>11.946906</v>
      </c>
      <c r="D23">
        <v>11.514385000000001</v>
      </c>
      <c r="E23">
        <v>11.739674000000001</v>
      </c>
      <c r="F23" s="9">
        <f t="shared" si="0"/>
        <v>1.017652278930403</v>
      </c>
      <c r="G23">
        <v>8.9088270000000005</v>
      </c>
      <c r="H23">
        <v>9.1374069999999996</v>
      </c>
      <c r="I23" s="9">
        <f t="shared" si="1"/>
        <v>1.3074722402099415</v>
      </c>
      <c r="J23">
        <v>23.643173000000001</v>
      </c>
      <c r="K23">
        <v>6.4255999999999994E-2</v>
      </c>
      <c r="L23">
        <v>23.930627000000001</v>
      </c>
      <c r="M23" s="9"/>
      <c r="N23">
        <v>23.722928</v>
      </c>
      <c r="O23">
        <v>0.11873599999999999</v>
      </c>
      <c r="P23">
        <v>24.012853</v>
      </c>
      <c r="Q23" s="11"/>
    </row>
    <row r="24" spans="1:17" x14ac:dyDescent="0.35">
      <c r="A24" s="3">
        <v>30000000</v>
      </c>
      <c r="B24">
        <v>12.255992000000001</v>
      </c>
      <c r="C24" s="4">
        <v>12.491576999999999</v>
      </c>
      <c r="D24">
        <v>12.040206</v>
      </c>
      <c r="E24">
        <v>12.273126</v>
      </c>
      <c r="F24" s="9">
        <f t="shared" si="0"/>
        <v>1.0177991328370621</v>
      </c>
      <c r="G24">
        <v>9.3778799999999993</v>
      </c>
      <c r="H24">
        <v>9.6123899999999995</v>
      </c>
      <c r="I24" s="9">
        <f t="shared" si="1"/>
        <v>1.2995287332286767</v>
      </c>
      <c r="J24">
        <v>24.793037000000002</v>
      </c>
      <c r="K24">
        <v>5.0632999999999997E-2</v>
      </c>
      <c r="L24">
        <v>25.087357999999998</v>
      </c>
      <c r="M24" s="9"/>
      <c r="N24">
        <v>24.785703999999999</v>
      </c>
      <c r="O24">
        <v>9.1429999999999997E-2</v>
      </c>
      <c r="P24">
        <v>25.081153</v>
      </c>
      <c r="Q24" s="11"/>
    </row>
    <row r="25" spans="1:17" x14ac:dyDescent="0.35">
      <c r="A25" s="3">
        <v>31000000</v>
      </c>
      <c r="B25">
        <v>12.868620999999999</v>
      </c>
      <c r="C25" s="4">
        <v>13.110246999999999</v>
      </c>
      <c r="D25">
        <v>13.162715</v>
      </c>
      <c r="E25">
        <v>13.399898</v>
      </c>
      <c r="F25" s="9">
        <f t="shared" si="0"/>
        <v>0.97838408919232067</v>
      </c>
      <c r="G25">
        <v>9.8169269999999997</v>
      </c>
      <c r="H25">
        <v>10.055223</v>
      </c>
      <c r="I25" s="9">
        <f t="shared" si="1"/>
        <v>1.3038245894695721</v>
      </c>
      <c r="J25">
        <v>26.067053999999999</v>
      </c>
      <c r="K25">
        <v>5.2651999999999997E-2</v>
      </c>
      <c r="L25">
        <v>26.372491</v>
      </c>
      <c r="M25" s="9"/>
      <c r="N25">
        <v>25.999658</v>
      </c>
      <c r="O25">
        <v>0.118336</v>
      </c>
      <c r="P25">
        <v>26.305202000000001</v>
      </c>
      <c r="Q25" s="11"/>
    </row>
    <row r="26" spans="1:17" x14ac:dyDescent="0.35">
      <c r="A26" s="3">
        <v>32000000</v>
      </c>
      <c r="B26">
        <v>13.874917</v>
      </c>
      <c r="C26" s="4">
        <v>14.117469</v>
      </c>
      <c r="D26">
        <v>13.244884000000001</v>
      </c>
      <c r="E26">
        <v>13.492699999999999</v>
      </c>
      <c r="F26" s="9">
        <f t="shared" si="0"/>
        <v>1.0463042237654436</v>
      </c>
      <c r="G26">
        <v>10.335887</v>
      </c>
      <c r="H26">
        <v>10.584685</v>
      </c>
      <c r="I26" s="9">
        <f t="shared" si="1"/>
        <v>1.3337637350568297</v>
      </c>
      <c r="J26">
        <v>27.201438</v>
      </c>
      <c r="K26">
        <v>8.6267999999999997E-2</v>
      </c>
      <c r="L26">
        <v>27.515366</v>
      </c>
      <c r="M26" s="9"/>
      <c r="N26">
        <v>27.258023999999999</v>
      </c>
      <c r="O26">
        <v>6.0016E-2</v>
      </c>
      <c r="P26">
        <v>27.567063999999998</v>
      </c>
      <c r="Q26" s="11"/>
    </row>
    <row r="27" spans="1:17" x14ac:dyDescent="0.35">
      <c r="A27" s="3">
        <v>33000000</v>
      </c>
      <c r="B27">
        <v>13.966804</v>
      </c>
      <c r="C27" s="4">
        <v>14.29396</v>
      </c>
      <c r="D27">
        <v>13.85843</v>
      </c>
      <c r="E27">
        <v>14.111734</v>
      </c>
      <c r="F27" s="9">
        <f t="shared" si="0"/>
        <v>1.0129130835374307</v>
      </c>
      <c r="G27">
        <v>10.724974</v>
      </c>
      <c r="H27">
        <v>10.976537</v>
      </c>
      <c r="I27" s="9">
        <f t="shared" si="1"/>
        <v>1.3022285626149668</v>
      </c>
      <c r="J27">
        <v>28.411472</v>
      </c>
      <c r="K27">
        <v>0.102343</v>
      </c>
      <c r="L27">
        <v>28.729544000000001</v>
      </c>
      <c r="M27" s="9"/>
      <c r="N27">
        <v>28.415275999999999</v>
      </c>
      <c r="O27">
        <v>0.15045800000000001</v>
      </c>
      <c r="P27">
        <v>28.738727000000001</v>
      </c>
      <c r="Q27" s="11"/>
    </row>
    <row r="28" spans="1:17" x14ac:dyDescent="0.35">
      <c r="A28" s="3">
        <v>34000000</v>
      </c>
      <c r="B28">
        <v>14.630143</v>
      </c>
      <c r="C28" s="4">
        <v>14.891556</v>
      </c>
      <c r="D28">
        <v>14.563253</v>
      </c>
      <c r="E28">
        <v>14.826389000000001</v>
      </c>
      <c r="F28" s="9">
        <f t="shared" si="0"/>
        <v>1.0043953386087467</v>
      </c>
      <c r="G28">
        <v>11.249344000000001</v>
      </c>
      <c r="H28">
        <v>11.506083</v>
      </c>
      <c r="I28" s="9">
        <f t="shared" si="1"/>
        <v>1.2942333198882712</v>
      </c>
      <c r="J28">
        <v>29.706863999999999</v>
      </c>
      <c r="K28">
        <v>5.7049999999999997E-2</v>
      </c>
      <c r="L28">
        <v>30.062819999999999</v>
      </c>
      <c r="M28" s="9"/>
      <c r="N28">
        <v>29.631996000000001</v>
      </c>
      <c r="O28">
        <v>8.7528999999999996E-2</v>
      </c>
      <c r="P28">
        <v>29.966605000000001</v>
      </c>
      <c r="Q28" s="11"/>
    </row>
    <row r="29" spans="1:17" x14ac:dyDescent="0.35">
      <c r="A29" s="3">
        <v>35000000</v>
      </c>
      <c r="B29">
        <v>15.250101000000001</v>
      </c>
      <c r="C29" s="4">
        <v>15.52257</v>
      </c>
      <c r="D29">
        <v>15.677218</v>
      </c>
      <c r="E29">
        <v>15.94857</v>
      </c>
      <c r="F29" s="9">
        <f t="shared" si="0"/>
        <v>0.97328914128351318</v>
      </c>
      <c r="G29">
        <v>11.675091</v>
      </c>
      <c r="H29">
        <v>11.954129999999999</v>
      </c>
      <c r="I29" s="9">
        <f t="shared" si="1"/>
        <v>1.2985110585211974</v>
      </c>
      <c r="J29">
        <v>30.886023000000002</v>
      </c>
      <c r="K29">
        <v>8.3173999999999998E-2</v>
      </c>
      <c r="L29">
        <v>31.229244999999999</v>
      </c>
      <c r="M29" s="9"/>
      <c r="N29">
        <v>30.94286</v>
      </c>
      <c r="O29">
        <v>8.3533999999999997E-2</v>
      </c>
      <c r="P29">
        <v>31.398295999999998</v>
      </c>
      <c r="Q29" s="11"/>
    </row>
    <row r="30" spans="1:17" x14ac:dyDescent="0.35">
      <c r="A30" s="3">
        <v>36000000</v>
      </c>
      <c r="B30">
        <v>16.512450000000001</v>
      </c>
      <c r="C30" s="4">
        <v>16.830658</v>
      </c>
      <c r="D30">
        <v>15.635672</v>
      </c>
      <c r="E30">
        <v>15.914113</v>
      </c>
      <c r="F30" s="9">
        <f t="shared" si="0"/>
        <v>1.0575932193016349</v>
      </c>
      <c r="G30">
        <v>12.150399</v>
      </c>
      <c r="H30">
        <v>12.430709999999999</v>
      </c>
      <c r="I30" s="9">
        <f t="shared" si="1"/>
        <v>1.3539578994281098</v>
      </c>
      <c r="J30">
        <v>32.252598999999996</v>
      </c>
      <c r="K30">
        <v>0.156116</v>
      </c>
      <c r="L30">
        <v>32.629485000000003</v>
      </c>
      <c r="M30" s="9"/>
      <c r="N30">
        <v>32.155073000000002</v>
      </c>
      <c r="O30">
        <v>0.135986</v>
      </c>
      <c r="P30">
        <v>32.508046</v>
      </c>
      <c r="Q30" s="11"/>
    </row>
    <row r="31" spans="1:17" x14ac:dyDescent="0.35">
      <c r="A31" s="3">
        <v>37000000</v>
      </c>
      <c r="B31">
        <v>16.526091000000001</v>
      </c>
      <c r="C31" s="4">
        <v>16.813343</v>
      </c>
      <c r="D31">
        <v>16.254477999999999</v>
      </c>
      <c r="E31">
        <v>16.535898</v>
      </c>
      <c r="F31" s="9">
        <f t="shared" si="0"/>
        <v>1.016778344907546</v>
      </c>
      <c r="G31">
        <v>12.841272</v>
      </c>
      <c r="H31">
        <v>13.127226</v>
      </c>
      <c r="I31" s="9">
        <f t="shared" si="1"/>
        <v>1.2807993859479527</v>
      </c>
      <c r="J31">
        <v>33.430531000000002</v>
      </c>
      <c r="K31">
        <v>6.2260999999999997E-2</v>
      </c>
      <c r="L31">
        <v>33.793050999999998</v>
      </c>
      <c r="M31" s="9"/>
      <c r="N31">
        <v>33.577609000000002</v>
      </c>
      <c r="O31">
        <v>0.22929099999999999</v>
      </c>
      <c r="P31">
        <v>33.940362999999998</v>
      </c>
      <c r="Q31" s="11"/>
    </row>
    <row r="32" spans="1:17" x14ac:dyDescent="0.35">
      <c r="A32" s="3">
        <v>38000000</v>
      </c>
      <c r="B32">
        <v>17.150921</v>
      </c>
      <c r="C32" s="4">
        <v>17.441908999999999</v>
      </c>
      <c r="D32">
        <v>16.993428999999999</v>
      </c>
      <c r="E32">
        <v>17.283128999999999</v>
      </c>
      <c r="F32" s="9">
        <f t="shared" si="0"/>
        <v>1.0091869938597346</v>
      </c>
      <c r="G32">
        <v>13.127459999999999</v>
      </c>
      <c r="H32">
        <v>13.420012</v>
      </c>
      <c r="I32" s="9">
        <f t="shared" si="1"/>
        <v>1.2996939943123746</v>
      </c>
      <c r="J32">
        <v>34.721755000000002</v>
      </c>
      <c r="K32">
        <v>0.124671</v>
      </c>
      <c r="L32">
        <v>35.091209999999997</v>
      </c>
      <c r="M32" s="9"/>
      <c r="N32">
        <v>34.731690999999998</v>
      </c>
      <c r="O32">
        <v>0.13760800000000001</v>
      </c>
      <c r="P32">
        <v>35.101497999999999</v>
      </c>
      <c r="Q32" s="11"/>
    </row>
    <row r="33" spans="1:19" x14ac:dyDescent="0.35">
      <c r="A33" s="3">
        <v>39000000</v>
      </c>
      <c r="B33">
        <v>18.273021</v>
      </c>
      <c r="C33" s="4">
        <v>18.574559000000001</v>
      </c>
      <c r="D33">
        <v>18.158349999999999</v>
      </c>
      <c r="E33">
        <v>18.448433000000001</v>
      </c>
      <c r="F33" s="9">
        <f t="shared" si="0"/>
        <v>1.0068366782154343</v>
      </c>
      <c r="G33">
        <v>13.715503999999999</v>
      </c>
      <c r="H33">
        <v>14.014512</v>
      </c>
      <c r="I33" s="9">
        <f t="shared" si="1"/>
        <v>1.3253803628695742</v>
      </c>
      <c r="J33">
        <v>36.135139000000002</v>
      </c>
      <c r="K33">
        <v>0.103564</v>
      </c>
      <c r="L33">
        <v>36.515549999999998</v>
      </c>
      <c r="M33" s="9"/>
      <c r="N33">
        <v>36.102108000000001</v>
      </c>
      <c r="O33">
        <v>0.109892</v>
      </c>
      <c r="P33">
        <v>36.488903000000001</v>
      </c>
      <c r="Q33" s="11"/>
    </row>
    <row r="34" spans="1:19" x14ac:dyDescent="0.35">
      <c r="A34" s="3">
        <v>40000000</v>
      </c>
      <c r="B34">
        <v>18.349198999999999</v>
      </c>
      <c r="C34" s="4">
        <v>18.65401</v>
      </c>
      <c r="D34">
        <v>18.198740999999998</v>
      </c>
      <c r="E34">
        <v>18.493829999999999</v>
      </c>
      <c r="F34" s="9">
        <f t="shared" si="0"/>
        <v>1.0086612670279764</v>
      </c>
      <c r="G34">
        <v>14.115189000000001</v>
      </c>
      <c r="H34">
        <v>14.423774999999999</v>
      </c>
      <c r="I34" s="9">
        <f t="shared" si="1"/>
        <v>1.2932820984797671</v>
      </c>
      <c r="J34">
        <v>37.370319000000002</v>
      </c>
      <c r="K34">
        <v>9.5172999999999994E-2</v>
      </c>
      <c r="L34">
        <v>37.757770999999998</v>
      </c>
      <c r="M34" s="9"/>
      <c r="N34">
        <v>37.374656000000002</v>
      </c>
      <c r="O34">
        <v>0.107818</v>
      </c>
      <c r="P34">
        <v>37.764951000000003</v>
      </c>
      <c r="Q34" s="11"/>
    </row>
    <row r="35" spans="1:19" ht="40" customHeight="1" x14ac:dyDescent="0.35"/>
    <row r="36" spans="1:19" s="1" customFormat="1" ht="30" customHeight="1" x14ac:dyDescent="0.35">
      <c r="A36" s="12" t="s">
        <v>13</v>
      </c>
    </row>
    <row r="37" spans="1:19" x14ac:dyDescent="0.35">
      <c r="A37" s="20" t="s">
        <v>11</v>
      </c>
      <c r="B37" s="17" t="s">
        <v>2</v>
      </c>
      <c r="C37" s="18"/>
      <c r="D37" s="19"/>
      <c r="E37" s="17" t="s">
        <v>3</v>
      </c>
      <c r="F37" s="18"/>
      <c r="G37" s="19"/>
      <c r="H37" s="17" t="s">
        <v>14</v>
      </c>
      <c r="I37" s="18"/>
      <c r="J37" s="18"/>
      <c r="K37" s="19"/>
      <c r="L37" s="17" t="s">
        <v>17</v>
      </c>
      <c r="M37" s="18"/>
      <c r="N37" s="18"/>
      <c r="O37" s="19"/>
      <c r="P37" s="17" t="s">
        <v>18</v>
      </c>
      <c r="Q37" s="18"/>
      <c r="R37" s="18"/>
      <c r="S37" s="18"/>
    </row>
    <row r="38" spans="1:19" ht="15" thickBot="1" x14ac:dyDescent="0.4">
      <c r="A38" s="21"/>
      <c r="B38" s="5" t="s">
        <v>6</v>
      </c>
      <c r="C38" s="6" t="s">
        <v>4</v>
      </c>
      <c r="D38" s="8" t="s">
        <v>7</v>
      </c>
      <c r="E38" s="5" t="s">
        <v>6</v>
      </c>
      <c r="F38" s="6" t="s">
        <v>4</v>
      </c>
      <c r="G38" s="8" t="s">
        <v>7</v>
      </c>
      <c r="H38" s="5" t="s">
        <v>6</v>
      </c>
      <c r="I38" s="6" t="s">
        <v>15</v>
      </c>
      <c r="J38" s="6" t="s">
        <v>4</v>
      </c>
      <c r="K38" s="8" t="s">
        <v>7</v>
      </c>
      <c r="L38" s="6" t="s">
        <v>6</v>
      </c>
      <c r="M38" s="6" t="s">
        <v>15</v>
      </c>
      <c r="N38" s="6" t="s">
        <v>4</v>
      </c>
      <c r="O38" s="8" t="s">
        <v>7</v>
      </c>
      <c r="P38" s="6" t="s">
        <v>6</v>
      </c>
      <c r="Q38" s="6" t="s">
        <v>15</v>
      </c>
      <c r="R38" s="6" t="s">
        <v>4</v>
      </c>
      <c r="S38" s="10" t="s">
        <v>7</v>
      </c>
    </row>
    <row r="39" spans="1:19" x14ac:dyDescent="0.35">
      <c r="A39" s="3">
        <v>1</v>
      </c>
      <c r="B39">
        <v>2.572406</v>
      </c>
      <c r="C39">
        <v>2.6536749999999998</v>
      </c>
      <c r="D39" s="13"/>
      <c r="E39">
        <v>2.5861779999999999</v>
      </c>
      <c r="F39">
        <v>2.673054</v>
      </c>
      <c r="G39" s="13"/>
      <c r="H39">
        <v>7.6580219999999999</v>
      </c>
      <c r="I39">
        <v>6.9059999999999998E-3</v>
      </c>
      <c r="J39">
        <v>7.7491459999999996</v>
      </c>
      <c r="K39" s="9"/>
      <c r="L39">
        <v>7.6607130000000003</v>
      </c>
      <c r="M39">
        <v>7.3940000000000004E-3</v>
      </c>
      <c r="N39">
        <v>7.7524199999999999</v>
      </c>
      <c r="O39" s="9"/>
    </row>
    <row r="40" spans="1:19" x14ac:dyDescent="0.35">
      <c r="A40" s="3">
        <v>2</v>
      </c>
      <c r="B40">
        <v>2.6027749999999998</v>
      </c>
      <c r="C40">
        <v>2.687281</v>
      </c>
      <c r="D40" s="9"/>
      <c r="E40">
        <v>1.97525</v>
      </c>
      <c r="F40">
        <v>2.0622319999999998</v>
      </c>
      <c r="G40" s="9"/>
      <c r="H40">
        <v>5.2722499999999997</v>
      </c>
      <c r="I40">
        <v>1.8800000000000001E-2</v>
      </c>
      <c r="J40">
        <v>5.3817170000000001</v>
      </c>
      <c r="K40" s="9"/>
      <c r="L40">
        <v>5.2800529999999997</v>
      </c>
      <c r="M40">
        <v>3.8383E-2</v>
      </c>
      <c r="N40">
        <v>5.3927930000000002</v>
      </c>
      <c r="O40" s="9"/>
    </row>
    <row r="41" spans="1:19" x14ac:dyDescent="0.35">
      <c r="A41" s="3">
        <v>4</v>
      </c>
      <c r="B41">
        <v>1.9648859999999999</v>
      </c>
      <c r="C41">
        <v>2.049277</v>
      </c>
      <c r="D41" s="9"/>
      <c r="E41">
        <v>1.9692130000000001</v>
      </c>
      <c r="F41">
        <v>2.056581</v>
      </c>
      <c r="G41" s="9"/>
      <c r="H41">
        <v>2.6470050000000001</v>
      </c>
      <c r="I41">
        <v>0.113428</v>
      </c>
      <c r="J41">
        <v>2.8338839999999998</v>
      </c>
      <c r="K41" s="9"/>
      <c r="L41">
        <v>2.6443479999999999</v>
      </c>
      <c r="M41">
        <v>9.3801999999999996E-2</v>
      </c>
      <c r="N41">
        <v>2.8208000000000002</v>
      </c>
      <c r="O41" s="9"/>
    </row>
    <row r="42" spans="1:19" x14ac:dyDescent="0.35">
      <c r="A42" s="3">
        <v>6</v>
      </c>
      <c r="B42">
        <v>1.9608589999999999</v>
      </c>
      <c r="C42">
        <v>2.0459909999999999</v>
      </c>
      <c r="D42" s="9"/>
      <c r="E42">
        <v>1.9760329999999999</v>
      </c>
      <c r="F42">
        <v>2.0615269999999999</v>
      </c>
      <c r="G42" s="9"/>
      <c r="H42">
        <v>1.7900199999999999</v>
      </c>
      <c r="I42">
        <v>0.19519600000000001</v>
      </c>
      <c r="J42">
        <v>2.0197210000000001</v>
      </c>
      <c r="K42" s="9"/>
      <c r="L42">
        <v>2.966926</v>
      </c>
      <c r="M42">
        <v>3.0135839999999998</v>
      </c>
      <c r="N42">
        <v>3.18621</v>
      </c>
      <c r="O42" s="9"/>
    </row>
    <row r="43" spans="1:19" x14ac:dyDescent="0.35">
      <c r="A43" s="3">
        <v>8</v>
      </c>
      <c r="B43">
        <v>1.975557</v>
      </c>
      <c r="C43">
        <v>2.0579339999999999</v>
      </c>
      <c r="D43" s="9"/>
      <c r="E43">
        <v>1.9853000000000001</v>
      </c>
      <c r="F43">
        <v>2.1417489999999999</v>
      </c>
      <c r="G43" s="9"/>
      <c r="H43">
        <v>1.33155</v>
      </c>
      <c r="I43">
        <v>9.1736999999999999E-2</v>
      </c>
      <c r="J43">
        <v>1.5152589999999999</v>
      </c>
      <c r="K43" s="9"/>
      <c r="L43">
        <v>1.335216</v>
      </c>
      <c r="M43">
        <v>0.10401000000000001</v>
      </c>
      <c r="N43">
        <v>1.5258640000000001</v>
      </c>
      <c r="O43" s="9"/>
    </row>
  </sheetData>
  <mergeCells count="12">
    <mergeCell ref="A37:A38"/>
    <mergeCell ref="J2:M2"/>
    <mergeCell ref="N2:Q2"/>
    <mergeCell ref="A2:A3"/>
    <mergeCell ref="B2:C2"/>
    <mergeCell ref="D2:F2"/>
    <mergeCell ref="G2:I2"/>
    <mergeCell ref="H37:K37"/>
    <mergeCell ref="L37:O37"/>
    <mergeCell ref="P37:S37"/>
    <mergeCell ref="B37:D37"/>
    <mergeCell ref="E37:G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41B7-DEDD-4D36-AFDE-6D75EC429377}">
  <dimension ref="A1:AM46"/>
  <sheetViews>
    <sheetView tabSelected="1" zoomScale="86" zoomScaleNormal="85" workbookViewId="0">
      <selection activeCell="G35" sqref="G35"/>
    </sheetView>
  </sheetViews>
  <sheetFormatPr defaultRowHeight="14.5" x14ac:dyDescent="0.35"/>
  <cols>
    <col min="1" max="1" width="12.54296875" customWidth="1"/>
    <col min="2" max="39" width="12.6328125" customWidth="1"/>
  </cols>
  <sheetData>
    <row r="1" spans="1:18" s="1" customFormat="1" ht="30" customHeight="1" x14ac:dyDescent="0.35">
      <c r="A1" s="12" t="s">
        <v>12</v>
      </c>
    </row>
    <row r="2" spans="1:18" x14ac:dyDescent="0.35">
      <c r="A2" s="20" t="s">
        <v>0</v>
      </c>
      <c r="B2" s="17" t="s">
        <v>1</v>
      </c>
      <c r="C2" s="19"/>
      <c r="D2" s="17" t="s">
        <v>19</v>
      </c>
      <c r="E2" s="18"/>
      <c r="F2" s="19"/>
      <c r="G2" s="17" t="s">
        <v>20</v>
      </c>
      <c r="H2" s="18"/>
      <c r="I2" s="19"/>
      <c r="J2" s="17" t="s">
        <v>21</v>
      </c>
      <c r="K2" s="18"/>
      <c r="L2" s="18"/>
      <c r="M2" s="19"/>
      <c r="N2" s="17" t="s">
        <v>22</v>
      </c>
      <c r="O2" s="23"/>
      <c r="P2" s="23"/>
      <c r="Q2" s="23"/>
      <c r="R2" s="22"/>
    </row>
    <row r="3" spans="1:18" ht="15" thickBot="1" x14ac:dyDescent="0.4">
      <c r="A3" s="21"/>
      <c r="B3" s="5" t="s">
        <v>5</v>
      </c>
      <c r="C3" s="2" t="s">
        <v>4</v>
      </c>
      <c r="D3" s="5" t="s">
        <v>6</v>
      </c>
      <c r="E3" s="6" t="s">
        <v>4</v>
      </c>
      <c r="F3" s="8" t="s">
        <v>7</v>
      </c>
      <c r="G3" s="5" t="s">
        <v>6</v>
      </c>
      <c r="H3" s="6" t="s">
        <v>4</v>
      </c>
      <c r="I3" s="8" t="s">
        <v>7</v>
      </c>
      <c r="J3" s="5" t="s">
        <v>6</v>
      </c>
      <c r="K3" s="6" t="s">
        <v>15</v>
      </c>
      <c r="L3" s="6" t="s">
        <v>4</v>
      </c>
      <c r="M3" s="8" t="s">
        <v>7</v>
      </c>
      <c r="N3" s="5" t="s">
        <v>6</v>
      </c>
      <c r="O3" s="6" t="s">
        <v>15</v>
      </c>
      <c r="P3" s="6" t="s">
        <v>4</v>
      </c>
      <c r="Q3" s="10" t="s">
        <v>7</v>
      </c>
    </row>
    <row r="4" spans="1:18" x14ac:dyDescent="0.35">
      <c r="A4" s="3">
        <v>10000000</v>
      </c>
      <c r="B4">
        <v>1.748899</v>
      </c>
      <c r="C4" s="7">
        <v>1.833523</v>
      </c>
      <c r="D4">
        <v>0.218082</v>
      </c>
      <c r="E4">
        <v>0.284576</v>
      </c>
      <c r="F4" s="9">
        <f>C4/E4</f>
        <v>6.4429994096480376</v>
      </c>
      <c r="G4">
        <v>0.13054199999999999</v>
      </c>
      <c r="H4">
        <v>0.197571</v>
      </c>
      <c r="I4" s="9">
        <f>C4/H4</f>
        <v>9.2803245415572118</v>
      </c>
      <c r="J4">
        <v>0.15099199999999999</v>
      </c>
      <c r="K4">
        <v>0.115922</v>
      </c>
      <c r="L4">
        <v>0.339115</v>
      </c>
      <c r="M4" s="9">
        <f>C4/L4</f>
        <v>5.4067882576707014</v>
      </c>
      <c r="N4">
        <v>0.13047700000000001</v>
      </c>
      <c r="O4">
        <v>0.103162</v>
      </c>
      <c r="P4">
        <v>0.30353999999999998</v>
      </c>
      <c r="Q4" s="11">
        <f t="shared" ref="Q4:Q34" si="0">C4/P4</f>
        <v>6.0404658364630697</v>
      </c>
    </row>
    <row r="5" spans="1:18" x14ac:dyDescent="0.35">
      <c r="A5" s="3">
        <v>11000000</v>
      </c>
      <c r="B5">
        <v>2.000051</v>
      </c>
      <c r="C5" s="4">
        <v>2.1030500000000001</v>
      </c>
      <c r="D5">
        <v>0.27098800000000001</v>
      </c>
      <c r="E5">
        <v>0.34778799999999999</v>
      </c>
      <c r="F5" s="9">
        <f t="shared" ref="F5:F34" si="1">C5/E5</f>
        <v>6.046930888932339</v>
      </c>
      <c r="G5">
        <v>0.14468500000000001</v>
      </c>
      <c r="H5">
        <v>0.21735499999999999</v>
      </c>
      <c r="I5" s="9">
        <f t="shared" ref="I5:I34" si="2">C5/H5</f>
        <v>9.6756458328540873</v>
      </c>
      <c r="J5">
        <v>0.15848000000000001</v>
      </c>
      <c r="K5">
        <v>0.109898</v>
      </c>
      <c r="L5">
        <v>0.35133300000000001</v>
      </c>
      <c r="M5" s="9">
        <f t="shared" ref="M5:M34" si="3">C5/L5</f>
        <v>5.9859164951769408</v>
      </c>
      <c r="N5">
        <v>0.164075</v>
      </c>
      <c r="O5">
        <v>8.9487999999999998E-2</v>
      </c>
      <c r="P5">
        <v>0.32161899999999999</v>
      </c>
      <c r="Q5" s="11">
        <f t="shared" si="0"/>
        <v>6.5389482586538739</v>
      </c>
    </row>
    <row r="6" spans="1:18" x14ac:dyDescent="0.35">
      <c r="A6" s="3">
        <v>12000000</v>
      </c>
      <c r="B6">
        <v>2.2614899999999998</v>
      </c>
      <c r="C6" s="4">
        <v>2.3671989999999998</v>
      </c>
      <c r="D6">
        <v>0.28162700000000002</v>
      </c>
      <c r="E6">
        <v>0.36280200000000001</v>
      </c>
      <c r="F6" s="9">
        <f t="shared" si="1"/>
        <v>6.5247683309353306</v>
      </c>
      <c r="G6">
        <v>0.157946</v>
      </c>
      <c r="H6">
        <v>0.23816200000000001</v>
      </c>
      <c r="I6" s="9">
        <f t="shared" si="2"/>
        <v>9.9394487785624897</v>
      </c>
      <c r="J6">
        <v>0.19326599999999999</v>
      </c>
      <c r="K6">
        <v>9.5960000000000004E-2</v>
      </c>
      <c r="L6">
        <v>0.38957199999999997</v>
      </c>
      <c r="M6" s="9">
        <f t="shared" si="3"/>
        <v>6.0764094955489618</v>
      </c>
      <c r="N6">
        <v>0.17265</v>
      </c>
      <c r="O6">
        <v>0.114621</v>
      </c>
      <c r="P6">
        <v>0.36581599999999997</v>
      </c>
      <c r="Q6" s="11">
        <f t="shared" si="0"/>
        <v>6.4710100159643096</v>
      </c>
    </row>
    <row r="7" spans="1:18" x14ac:dyDescent="0.35">
      <c r="A7" s="3">
        <v>13000000</v>
      </c>
      <c r="B7">
        <v>2.531981</v>
      </c>
      <c r="C7" s="4">
        <v>2.6392120000000001</v>
      </c>
      <c r="D7">
        <v>0.344472</v>
      </c>
      <c r="E7">
        <v>0.42789899999999997</v>
      </c>
      <c r="F7" s="9">
        <f t="shared" si="1"/>
        <v>6.1678386722100313</v>
      </c>
      <c r="G7">
        <v>0.17783599999999999</v>
      </c>
      <c r="H7">
        <v>0.26837800000000001</v>
      </c>
      <c r="I7" s="9">
        <f t="shared" si="2"/>
        <v>9.833935717532734</v>
      </c>
      <c r="J7">
        <v>0.187859</v>
      </c>
      <c r="K7">
        <v>0.13759399999999999</v>
      </c>
      <c r="L7">
        <v>0.442241</v>
      </c>
      <c r="M7" s="9">
        <f t="shared" si="3"/>
        <v>5.967813929509024</v>
      </c>
      <c r="N7">
        <v>0.18529999999999999</v>
      </c>
      <c r="O7">
        <v>0.114091</v>
      </c>
      <c r="P7">
        <v>0.38733600000000001</v>
      </c>
      <c r="Q7" s="11">
        <f t="shared" si="0"/>
        <v>6.8137534337112999</v>
      </c>
    </row>
    <row r="8" spans="1:18" x14ac:dyDescent="0.35">
      <c r="A8" s="3">
        <v>14000000</v>
      </c>
      <c r="B8">
        <v>2.8117640000000002</v>
      </c>
      <c r="C8" s="4">
        <v>2.9274079999999998</v>
      </c>
      <c r="D8">
        <v>0.35028900000000002</v>
      </c>
      <c r="E8">
        <v>0.43850699999999998</v>
      </c>
      <c r="F8" s="9">
        <f t="shared" si="1"/>
        <v>6.6758523809198023</v>
      </c>
      <c r="G8">
        <v>0.193637</v>
      </c>
      <c r="H8">
        <v>0.29069600000000001</v>
      </c>
      <c r="I8" s="9">
        <f t="shared" si="2"/>
        <v>10.070341525167184</v>
      </c>
      <c r="J8">
        <v>0.229714</v>
      </c>
      <c r="K8">
        <v>0.13857900000000001</v>
      </c>
      <c r="L8">
        <v>0.46689999999999998</v>
      </c>
      <c r="M8" s="9">
        <f t="shared" si="3"/>
        <v>6.2698822017562641</v>
      </c>
      <c r="N8">
        <v>0.22131200000000001</v>
      </c>
      <c r="O8">
        <v>0.11294999999999999</v>
      </c>
      <c r="P8">
        <v>0.43114400000000003</v>
      </c>
      <c r="Q8" s="11">
        <f t="shared" si="0"/>
        <v>6.7898613920175155</v>
      </c>
    </row>
    <row r="9" spans="1:18" x14ac:dyDescent="0.35">
      <c r="A9" s="3">
        <v>15000000</v>
      </c>
      <c r="B9">
        <v>3.099081</v>
      </c>
      <c r="C9" s="4">
        <v>3.230092</v>
      </c>
      <c r="D9">
        <v>0.38580199999999998</v>
      </c>
      <c r="E9">
        <v>0.48250700000000002</v>
      </c>
      <c r="F9" s="9">
        <f t="shared" si="1"/>
        <v>6.6943940709668457</v>
      </c>
      <c r="G9">
        <v>0.216415</v>
      </c>
      <c r="H9">
        <v>0.31031199999999998</v>
      </c>
      <c r="I9" s="9">
        <f t="shared" si="2"/>
        <v>10.409175281652015</v>
      </c>
      <c r="J9">
        <v>0.23347699999999999</v>
      </c>
      <c r="K9">
        <v>0.15329100000000001</v>
      </c>
      <c r="L9">
        <v>0.56874100000000005</v>
      </c>
      <c r="M9" s="9">
        <f t="shared" si="3"/>
        <v>5.6793725087517863</v>
      </c>
      <c r="N9">
        <v>0.22994700000000001</v>
      </c>
      <c r="O9">
        <v>0.123031</v>
      </c>
      <c r="P9">
        <v>0.46369500000000002</v>
      </c>
      <c r="Q9" s="11">
        <f t="shared" si="0"/>
        <v>6.9659841059317005</v>
      </c>
    </row>
    <row r="10" spans="1:18" x14ac:dyDescent="0.35">
      <c r="A10" s="3">
        <v>16000000</v>
      </c>
      <c r="B10">
        <v>3.3963390000000002</v>
      </c>
      <c r="C10" s="4">
        <v>3.5315159999999999</v>
      </c>
      <c r="D10">
        <v>0.42282999999999998</v>
      </c>
      <c r="E10">
        <v>0.51977399999999996</v>
      </c>
      <c r="F10" s="9">
        <f t="shared" si="1"/>
        <v>6.7943298433549968</v>
      </c>
      <c r="G10">
        <v>0.23191200000000001</v>
      </c>
      <c r="H10">
        <v>0.34072799999999998</v>
      </c>
      <c r="I10" s="9">
        <f t="shared" si="2"/>
        <v>10.364619285764599</v>
      </c>
      <c r="J10">
        <v>0.25047599999999998</v>
      </c>
      <c r="K10">
        <v>0.15142600000000001</v>
      </c>
      <c r="L10">
        <v>0.52703299999999997</v>
      </c>
      <c r="M10" s="9">
        <f t="shared" si="3"/>
        <v>6.7007492889439559</v>
      </c>
      <c r="N10">
        <v>0.25673800000000002</v>
      </c>
      <c r="O10">
        <v>0.16491500000000001</v>
      </c>
      <c r="P10">
        <v>0.553338</v>
      </c>
      <c r="Q10" s="11">
        <f t="shared" si="0"/>
        <v>6.3822040055083873</v>
      </c>
    </row>
    <row r="11" spans="1:18" x14ac:dyDescent="0.35">
      <c r="A11" s="3">
        <v>17000000</v>
      </c>
      <c r="B11">
        <v>3.7004570000000001</v>
      </c>
      <c r="C11" s="4">
        <v>3.8283680000000002</v>
      </c>
      <c r="D11">
        <v>0.46018900000000001</v>
      </c>
      <c r="E11">
        <v>0.56303700000000001</v>
      </c>
      <c r="F11" s="9">
        <f t="shared" si="1"/>
        <v>6.7994963030848776</v>
      </c>
      <c r="G11">
        <v>0.25092300000000001</v>
      </c>
      <c r="H11">
        <v>0.36224800000000001</v>
      </c>
      <c r="I11" s="9">
        <f t="shared" si="2"/>
        <v>10.568362006139441</v>
      </c>
      <c r="J11">
        <v>0.28723599999999999</v>
      </c>
      <c r="K11">
        <v>0.25220500000000001</v>
      </c>
      <c r="L11">
        <v>0.65071800000000002</v>
      </c>
      <c r="M11" s="9">
        <f t="shared" si="3"/>
        <v>5.8832981414376118</v>
      </c>
      <c r="N11">
        <v>0.27944400000000003</v>
      </c>
      <c r="O11">
        <v>0.151396</v>
      </c>
      <c r="P11">
        <v>0.57420700000000002</v>
      </c>
      <c r="Q11" s="11">
        <f t="shared" si="0"/>
        <v>6.6672262790248116</v>
      </c>
    </row>
    <row r="12" spans="1:18" x14ac:dyDescent="0.35">
      <c r="A12" s="3">
        <v>18000000</v>
      </c>
      <c r="B12">
        <v>4.0108110000000003</v>
      </c>
      <c r="C12" s="4">
        <v>4.154458</v>
      </c>
      <c r="D12">
        <v>0.499305</v>
      </c>
      <c r="E12">
        <v>0.60928300000000002</v>
      </c>
      <c r="F12" s="9">
        <f t="shared" si="1"/>
        <v>6.8186015365601857</v>
      </c>
      <c r="G12">
        <v>0.283526</v>
      </c>
      <c r="H12">
        <v>0.40043299999999998</v>
      </c>
      <c r="I12" s="9">
        <f t="shared" si="2"/>
        <v>10.374914155426751</v>
      </c>
      <c r="J12">
        <v>0.29866700000000002</v>
      </c>
      <c r="K12">
        <v>0.26340999999999998</v>
      </c>
      <c r="L12">
        <v>0.69674899999999995</v>
      </c>
      <c r="M12" s="9">
        <f t="shared" si="3"/>
        <v>5.9626321673945712</v>
      </c>
      <c r="N12">
        <v>0.29756899999999997</v>
      </c>
      <c r="O12">
        <v>0.185693</v>
      </c>
      <c r="P12">
        <v>0.63354200000000005</v>
      </c>
      <c r="Q12" s="11">
        <f t="shared" si="0"/>
        <v>6.5575099993370598</v>
      </c>
    </row>
    <row r="13" spans="1:18" x14ac:dyDescent="0.35">
      <c r="A13" s="3">
        <v>19000000</v>
      </c>
      <c r="B13">
        <v>4.3306940000000003</v>
      </c>
      <c r="C13" s="4">
        <v>4.4743740000000001</v>
      </c>
      <c r="D13">
        <v>0.53838399999999997</v>
      </c>
      <c r="E13">
        <v>0.65372799999999998</v>
      </c>
      <c r="F13" s="9">
        <f t="shared" si="1"/>
        <v>6.8443970581036764</v>
      </c>
      <c r="G13">
        <v>0.29564000000000001</v>
      </c>
      <c r="H13">
        <v>0.41647200000000001</v>
      </c>
      <c r="I13" s="9">
        <f t="shared" si="2"/>
        <v>10.743516971128912</v>
      </c>
      <c r="J13">
        <v>0.33039000000000002</v>
      </c>
      <c r="K13">
        <v>0.16848299999999999</v>
      </c>
      <c r="L13">
        <v>0.626803</v>
      </c>
      <c r="M13" s="9">
        <f t="shared" si="3"/>
        <v>7.1384055277335943</v>
      </c>
      <c r="N13">
        <v>0.32174999999999998</v>
      </c>
      <c r="O13">
        <v>0.168183</v>
      </c>
      <c r="P13">
        <v>0.62671500000000002</v>
      </c>
      <c r="Q13" s="11">
        <f t="shared" si="0"/>
        <v>7.1394078648189367</v>
      </c>
    </row>
    <row r="14" spans="1:18" x14ac:dyDescent="0.35">
      <c r="A14" s="3">
        <v>20000000</v>
      </c>
      <c r="B14">
        <v>4.6921489999999997</v>
      </c>
      <c r="C14" s="4">
        <v>4.8425269999999996</v>
      </c>
      <c r="D14">
        <v>0.579681</v>
      </c>
      <c r="E14">
        <v>0.698766</v>
      </c>
      <c r="F14" s="9">
        <f t="shared" si="1"/>
        <v>6.9301125126294059</v>
      </c>
      <c r="G14">
        <v>0.31309500000000001</v>
      </c>
      <c r="H14">
        <v>0.43568299999999999</v>
      </c>
      <c r="I14" s="9">
        <f t="shared" si="2"/>
        <v>11.11479447212767</v>
      </c>
      <c r="J14">
        <v>0.36140699999999998</v>
      </c>
      <c r="K14">
        <v>0.17725199999999999</v>
      </c>
      <c r="L14">
        <v>0.68197700000000006</v>
      </c>
      <c r="M14" s="9">
        <f t="shared" si="3"/>
        <v>7.1007189392017604</v>
      </c>
      <c r="N14">
        <v>0.34512999999999999</v>
      </c>
      <c r="O14">
        <v>0.178616</v>
      </c>
      <c r="P14">
        <v>0.67111100000000001</v>
      </c>
      <c r="Q14" s="11">
        <f t="shared" si="0"/>
        <v>7.2156871218025032</v>
      </c>
    </row>
    <row r="15" spans="1:18" x14ac:dyDescent="0.35">
      <c r="A15" s="3">
        <v>21000000</v>
      </c>
      <c r="B15">
        <v>4.991924</v>
      </c>
      <c r="C15" s="4">
        <v>5.1548030000000002</v>
      </c>
      <c r="D15">
        <v>0.64369600000000005</v>
      </c>
      <c r="E15">
        <v>0.76528300000000005</v>
      </c>
      <c r="F15" s="9">
        <f t="shared" si="1"/>
        <v>6.7358127646896637</v>
      </c>
      <c r="G15">
        <v>0.331011</v>
      </c>
      <c r="H15">
        <v>0.46032200000000001</v>
      </c>
      <c r="I15" s="9">
        <f t="shared" si="2"/>
        <v>11.198254699970891</v>
      </c>
      <c r="J15">
        <v>0.37110599999999999</v>
      </c>
      <c r="K15">
        <v>0.18732299999999999</v>
      </c>
      <c r="L15">
        <v>0.72574499999999997</v>
      </c>
      <c r="M15" s="9">
        <f t="shared" si="3"/>
        <v>7.1027743904539475</v>
      </c>
      <c r="N15">
        <v>0.37145600000000001</v>
      </c>
      <c r="O15">
        <v>0.40421000000000001</v>
      </c>
      <c r="P15">
        <v>0.92356700000000003</v>
      </c>
      <c r="Q15" s="11">
        <f t="shared" si="0"/>
        <v>5.5814066548501629</v>
      </c>
    </row>
    <row r="16" spans="1:18" x14ac:dyDescent="0.35">
      <c r="A16" s="3">
        <v>22000000</v>
      </c>
      <c r="B16">
        <v>5.3300989999999997</v>
      </c>
      <c r="C16" s="4">
        <v>5.5227000000000004</v>
      </c>
      <c r="D16">
        <v>0.67809900000000001</v>
      </c>
      <c r="E16">
        <v>0.80962599999999996</v>
      </c>
      <c r="F16" s="9">
        <f t="shared" si="1"/>
        <v>6.8212977350035704</v>
      </c>
      <c r="G16">
        <v>0.35961100000000001</v>
      </c>
      <c r="H16">
        <v>0.49295099999999997</v>
      </c>
      <c r="I16" s="9">
        <f t="shared" si="2"/>
        <v>11.203344754346782</v>
      </c>
      <c r="J16">
        <v>0.39402999999999999</v>
      </c>
      <c r="K16">
        <v>0.22459499999999999</v>
      </c>
      <c r="L16">
        <v>0.79874000000000001</v>
      </c>
      <c r="M16" s="9">
        <f t="shared" si="3"/>
        <v>6.9142649673235352</v>
      </c>
      <c r="N16">
        <v>0.39453300000000002</v>
      </c>
      <c r="O16">
        <v>0.193055</v>
      </c>
      <c r="P16">
        <v>0.74716899999999997</v>
      </c>
      <c r="Q16" s="11">
        <f t="shared" si="0"/>
        <v>7.3915004503666513</v>
      </c>
    </row>
    <row r="17" spans="1:17" x14ac:dyDescent="0.35">
      <c r="A17" s="3">
        <v>23000000</v>
      </c>
      <c r="B17">
        <v>5.6791049999999998</v>
      </c>
      <c r="C17" s="4">
        <v>5.8535399999999997</v>
      </c>
      <c r="D17">
        <v>0.724553</v>
      </c>
      <c r="E17">
        <v>0.85989400000000005</v>
      </c>
      <c r="F17" s="9">
        <f t="shared" si="1"/>
        <v>6.8072808974129364</v>
      </c>
      <c r="G17">
        <v>0.382579</v>
      </c>
      <c r="H17">
        <v>0.52661000000000002</v>
      </c>
      <c r="I17" s="9">
        <f t="shared" si="2"/>
        <v>11.115512428552439</v>
      </c>
      <c r="J17">
        <v>0.44333099999999998</v>
      </c>
      <c r="K17">
        <v>0.180732</v>
      </c>
      <c r="L17">
        <v>0.79464500000000005</v>
      </c>
      <c r="M17" s="9">
        <f t="shared" si="3"/>
        <v>7.3662327202713156</v>
      </c>
      <c r="N17">
        <v>0.43036099999999999</v>
      </c>
      <c r="O17">
        <v>0.23480100000000001</v>
      </c>
      <c r="P17">
        <v>0.81858600000000004</v>
      </c>
      <c r="Q17" s="11">
        <f t="shared" si="0"/>
        <v>7.15079417434454</v>
      </c>
    </row>
    <row r="18" spans="1:17" x14ac:dyDescent="0.35">
      <c r="A18" s="3">
        <v>24000000</v>
      </c>
      <c r="B18">
        <v>6.0303909999999998</v>
      </c>
      <c r="C18" s="4">
        <v>6.2170909999999999</v>
      </c>
      <c r="D18">
        <v>0.75098500000000001</v>
      </c>
      <c r="E18">
        <v>0.89380300000000001</v>
      </c>
      <c r="F18" s="9">
        <f t="shared" si="1"/>
        <v>6.9557732520477105</v>
      </c>
      <c r="G18">
        <v>0.40873399999999999</v>
      </c>
      <c r="H18">
        <v>0.55763099999999999</v>
      </c>
      <c r="I18" s="9">
        <f t="shared" si="2"/>
        <v>11.149112943864312</v>
      </c>
      <c r="J18">
        <v>0.47020600000000001</v>
      </c>
      <c r="K18">
        <v>0.21249599999999999</v>
      </c>
      <c r="L18">
        <v>0.86087199999999997</v>
      </c>
      <c r="M18" s="9">
        <f t="shared" si="3"/>
        <v>7.2218529583956732</v>
      </c>
      <c r="N18">
        <v>0.45207199999999997</v>
      </c>
      <c r="O18">
        <v>0.19564100000000001</v>
      </c>
      <c r="P18">
        <v>0.81842599999999999</v>
      </c>
      <c r="Q18" s="11">
        <f t="shared" si="0"/>
        <v>7.5963996744971443</v>
      </c>
    </row>
    <row r="19" spans="1:17" x14ac:dyDescent="0.35">
      <c r="A19" s="3">
        <v>25000000</v>
      </c>
      <c r="B19">
        <v>6.3905620000000001</v>
      </c>
      <c r="C19" s="4">
        <v>6.5945340000000003</v>
      </c>
      <c r="D19">
        <v>0.79549800000000004</v>
      </c>
      <c r="E19">
        <v>0.93919399999999997</v>
      </c>
      <c r="F19" s="9">
        <f t="shared" si="1"/>
        <v>7.0214822496736566</v>
      </c>
      <c r="G19">
        <v>0.427782</v>
      </c>
      <c r="H19">
        <v>0.58167100000000005</v>
      </c>
      <c r="I19" s="9">
        <f t="shared" si="2"/>
        <v>11.337223275700525</v>
      </c>
      <c r="J19">
        <v>0.48530000000000001</v>
      </c>
      <c r="K19">
        <v>0.202236</v>
      </c>
      <c r="L19">
        <v>0.895146</v>
      </c>
      <c r="M19" s="9">
        <f t="shared" si="3"/>
        <v>7.3669926470095382</v>
      </c>
      <c r="N19">
        <v>0.478468</v>
      </c>
      <c r="O19">
        <v>0.19278699999999999</v>
      </c>
      <c r="P19">
        <v>0.85243400000000003</v>
      </c>
      <c r="Q19" s="11">
        <f t="shared" si="0"/>
        <v>7.7361226792924729</v>
      </c>
    </row>
    <row r="20" spans="1:17" x14ac:dyDescent="0.35">
      <c r="A20" s="3">
        <v>26000000</v>
      </c>
      <c r="B20">
        <v>6.7549650000000003</v>
      </c>
      <c r="C20" s="4">
        <v>6.9617089999999999</v>
      </c>
      <c r="D20">
        <v>0.84600600000000004</v>
      </c>
      <c r="E20">
        <v>0.99577599999999999</v>
      </c>
      <c r="F20" s="9">
        <f t="shared" si="1"/>
        <v>6.9912399977504984</v>
      </c>
      <c r="G20">
        <v>0.45273600000000003</v>
      </c>
      <c r="H20">
        <v>0.61212200000000005</v>
      </c>
      <c r="I20" s="9">
        <f t="shared" si="2"/>
        <v>11.373074321785525</v>
      </c>
      <c r="J20">
        <v>0.50156599999999996</v>
      </c>
      <c r="K20">
        <v>0.236147</v>
      </c>
      <c r="L20">
        <v>0.93239899999999998</v>
      </c>
      <c r="M20" s="9">
        <f t="shared" si="3"/>
        <v>7.4664483767142604</v>
      </c>
      <c r="N20">
        <v>0.512262</v>
      </c>
      <c r="O20">
        <v>0.24243600000000001</v>
      </c>
      <c r="P20">
        <v>0.92390399999999995</v>
      </c>
      <c r="Q20" s="11">
        <f t="shared" si="0"/>
        <v>7.5350999670961487</v>
      </c>
    </row>
    <row r="21" spans="1:17" x14ac:dyDescent="0.35">
      <c r="A21" s="3">
        <v>27000000</v>
      </c>
      <c r="B21">
        <v>7.1282779999999999</v>
      </c>
      <c r="C21" s="4">
        <v>7.322921</v>
      </c>
      <c r="D21">
        <v>0.91964100000000004</v>
      </c>
      <c r="E21">
        <v>1.0891120000000001</v>
      </c>
      <c r="F21" s="9">
        <f t="shared" si="1"/>
        <v>6.7237538471709053</v>
      </c>
      <c r="G21">
        <v>0.47664200000000001</v>
      </c>
      <c r="H21">
        <v>0.63880199999999998</v>
      </c>
      <c r="I21" s="9">
        <f t="shared" si="2"/>
        <v>11.463522343386527</v>
      </c>
      <c r="J21">
        <v>0.53628699999999996</v>
      </c>
      <c r="K21">
        <v>0.217556</v>
      </c>
      <c r="L21">
        <v>0.920678</v>
      </c>
      <c r="M21" s="9">
        <f t="shared" si="3"/>
        <v>7.953835108474407</v>
      </c>
      <c r="N21">
        <v>0.52862699999999996</v>
      </c>
      <c r="O21">
        <v>0.20550399999999999</v>
      </c>
      <c r="P21">
        <v>0.92293899999999995</v>
      </c>
      <c r="Q21" s="11">
        <f t="shared" si="0"/>
        <v>7.9343499407869862</v>
      </c>
    </row>
    <row r="22" spans="1:17" x14ac:dyDescent="0.35">
      <c r="A22" s="3">
        <v>28000000</v>
      </c>
      <c r="B22">
        <v>7.5052719999999997</v>
      </c>
      <c r="C22" s="4">
        <v>7.7059360000000003</v>
      </c>
      <c r="D22">
        <v>0.94684999999999997</v>
      </c>
      <c r="E22">
        <v>1.1164970000000001</v>
      </c>
      <c r="F22" s="9">
        <f t="shared" si="1"/>
        <v>6.9018868837085989</v>
      </c>
      <c r="G22">
        <v>0.50634800000000002</v>
      </c>
      <c r="H22">
        <v>0.67689500000000002</v>
      </c>
      <c r="I22" s="9">
        <f t="shared" si="2"/>
        <v>11.38424127818938</v>
      </c>
      <c r="J22">
        <v>0.56313800000000003</v>
      </c>
      <c r="K22">
        <v>0.21976499999999999</v>
      </c>
      <c r="L22">
        <v>0.96872599999999998</v>
      </c>
      <c r="M22" s="9">
        <f t="shared" si="3"/>
        <v>7.9547116522112553</v>
      </c>
      <c r="N22">
        <v>0.56069800000000003</v>
      </c>
      <c r="O22">
        <v>0.25718099999999999</v>
      </c>
      <c r="P22">
        <v>0.98792500000000005</v>
      </c>
      <c r="Q22" s="11">
        <f t="shared" si="0"/>
        <v>7.8001224789331172</v>
      </c>
    </row>
    <row r="23" spans="1:17" x14ac:dyDescent="0.35">
      <c r="A23" s="3">
        <v>29000000</v>
      </c>
      <c r="B23">
        <v>7.8874610000000001</v>
      </c>
      <c r="C23" s="4">
        <v>8.0842749999999999</v>
      </c>
      <c r="D23">
        <v>0.99387499999999995</v>
      </c>
      <c r="E23">
        <v>1.166188</v>
      </c>
      <c r="F23" s="9">
        <f t="shared" si="1"/>
        <v>6.9322227633966396</v>
      </c>
      <c r="G23">
        <v>0.52846199999999999</v>
      </c>
      <c r="H23">
        <v>0.70352300000000001</v>
      </c>
      <c r="I23" s="9">
        <f t="shared" si="2"/>
        <v>11.491131064656024</v>
      </c>
      <c r="J23">
        <v>0.58981799999999995</v>
      </c>
      <c r="K23">
        <v>0.25647399999999998</v>
      </c>
      <c r="L23">
        <v>1.0602940000000001</v>
      </c>
      <c r="M23" s="9">
        <f t="shared" si="3"/>
        <v>7.6245597919067727</v>
      </c>
      <c r="N23">
        <v>0.580515</v>
      </c>
      <c r="O23">
        <v>0.25049399999999999</v>
      </c>
      <c r="P23">
        <v>1.045582</v>
      </c>
      <c r="Q23" s="11">
        <f t="shared" si="0"/>
        <v>7.7318421701980329</v>
      </c>
    </row>
    <row r="24" spans="1:17" x14ac:dyDescent="0.35">
      <c r="A24" s="3">
        <v>30000000</v>
      </c>
      <c r="B24">
        <v>8.2786139999999993</v>
      </c>
      <c r="C24" s="4">
        <v>8.4775270000000003</v>
      </c>
      <c r="D24">
        <v>1.0478019999999999</v>
      </c>
      <c r="E24">
        <v>1.227876</v>
      </c>
      <c r="F24" s="9">
        <f t="shared" si="1"/>
        <v>6.9042207845091852</v>
      </c>
      <c r="G24">
        <v>0.55159000000000002</v>
      </c>
      <c r="H24">
        <v>0.72828099999999996</v>
      </c>
      <c r="I24" s="9">
        <f t="shared" si="2"/>
        <v>11.640461580076922</v>
      </c>
      <c r="J24">
        <v>0.627085</v>
      </c>
      <c r="K24">
        <v>0.22342300000000001</v>
      </c>
      <c r="L24">
        <v>1.115772</v>
      </c>
      <c r="M24" s="9">
        <f t="shared" si="3"/>
        <v>7.5979026180976046</v>
      </c>
      <c r="N24">
        <v>0.62524800000000003</v>
      </c>
      <c r="O24">
        <v>0.29843799999999998</v>
      </c>
      <c r="P24">
        <v>1.152817</v>
      </c>
      <c r="Q24" s="11">
        <f t="shared" si="0"/>
        <v>7.3537491206323296</v>
      </c>
    </row>
    <row r="25" spans="1:17" x14ac:dyDescent="0.35">
      <c r="A25" s="3">
        <v>31000000</v>
      </c>
      <c r="B25">
        <v>8.7138349999999996</v>
      </c>
      <c r="C25" s="4">
        <v>8.9261719999999993</v>
      </c>
      <c r="D25">
        <v>1.091896</v>
      </c>
      <c r="E25">
        <v>1.2760750000000001</v>
      </c>
      <c r="F25" s="9">
        <f t="shared" si="1"/>
        <v>6.9950214525008318</v>
      </c>
      <c r="G25">
        <v>0.57734600000000003</v>
      </c>
      <c r="H25">
        <v>0.761297</v>
      </c>
      <c r="I25" s="9">
        <f t="shared" si="2"/>
        <v>11.724953598923941</v>
      </c>
      <c r="J25">
        <v>0.66337100000000004</v>
      </c>
      <c r="K25">
        <v>0.271125</v>
      </c>
      <c r="L25">
        <v>1.1492789999999999</v>
      </c>
      <c r="M25" s="9">
        <f t="shared" si="3"/>
        <v>7.7667581153053344</v>
      </c>
      <c r="N25">
        <v>0.644459</v>
      </c>
      <c r="O25">
        <v>0.233075</v>
      </c>
      <c r="P25">
        <v>1.112115</v>
      </c>
      <c r="Q25" s="11">
        <f t="shared" si="0"/>
        <v>8.0263030352076896</v>
      </c>
    </row>
    <row r="26" spans="1:17" x14ac:dyDescent="0.35">
      <c r="A26" s="3">
        <v>32000000</v>
      </c>
      <c r="B26">
        <v>9.0826989999999999</v>
      </c>
      <c r="C26" s="4">
        <v>9.2956199999999995</v>
      </c>
      <c r="D26">
        <v>1.1460250000000001</v>
      </c>
      <c r="E26">
        <v>1.3348279999999999</v>
      </c>
      <c r="F26" s="9">
        <f t="shared" si="1"/>
        <v>6.9639084586178894</v>
      </c>
      <c r="G26">
        <v>0.61293299999999995</v>
      </c>
      <c r="H26">
        <v>0.80493999999999999</v>
      </c>
      <c r="I26" s="9">
        <f t="shared" si="2"/>
        <v>11.548214773771958</v>
      </c>
      <c r="J26">
        <v>0.672543</v>
      </c>
      <c r="K26">
        <v>0.26406600000000002</v>
      </c>
      <c r="L26">
        <v>1.202148</v>
      </c>
      <c r="M26" s="9">
        <f t="shared" si="3"/>
        <v>7.7325088092314749</v>
      </c>
      <c r="N26">
        <v>0.67047699999999999</v>
      </c>
      <c r="O26">
        <v>0.258687</v>
      </c>
      <c r="P26">
        <v>1.1586460000000001</v>
      </c>
      <c r="Q26" s="11">
        <f t="shared" si="0"/>
        <v>8.0228300965091996</v>
      </c>
    </row>
    <row r="27" spans="1:17" x14ac:dyDescent="0.35">
      <c r="A27" s="3">
        <v>33000000</v>
      </c>
      <c r="B27">
        <v>9.5072290000000006</v>
      </c>
      <c r="C27" s="4">
        <v>9.7146369999999997</v>
      </c>
      <c r="D27">
        <v>1.26888</v>
      </c>
      <c r="E27">
        <v>1.4667490000000001</v>
      </c>
      <c r="F27" s="9">
        <f t="shared" si="1"/>
        <v>6.6232443315113896</v>
      </c>
      <c r="G27">
        <v>0.63168899999999994</v>
      </c>
      <c r="H27">
        <v>0.82907299999999995</v>
      </c>
      <c r="I27" s="9">
        <f t="shared" si="2"/>
        <v>11.717468787428851</v>
      </c>
      <c r="J27">
        <v>0.72667400000000004</v>
      </c>
      <c r="K27">
        <v>0.296962</v>
      </c>
      <c r="L27">
        <v>1.2120230000000001</v>
      </c>
      <c r="M27" s="9">
        <f t="shared" si="3"/>
        <v>8.0152249586022695</v>
      </c>
      <c r="N27">
        <v>0.71296899999999996</v>
      </c>
      <c r="O27">
        <v>0.28098499999999998</v>
      </c>
      <c r="P27">
        <v>1.2481009999999999</v>
      </c>
      <c r="Q27" s="11">
        <f t="shared" si="0"/>
        <v>7.7835343453774977</v>
      </c>
    </row>
    <row r="28" spans="1:17" x14ac:dyDescent="0.35">
      <c r="A28" s="3">
        <v>34000000</v>
      </c>
      <c r="B28">
        <v>9.888261</v>
      </c>
      <c r="C28" s="4">
        <v>10.095466</v>
      </c>
      <c r="D28">
        <v>1.2431160000000001</v>
      </c>
      <c r="E28">
        <v>1.442761</v>
      </c>
      <c r="F28" s="9">
        <f t="shared" si="1"/>
        <v>6.9973238810863343</v>
      </c>
      <c r="G28">
        <v>0.66261300000000001</v>
      </c>
      <c r="H28">
        <v>0.87080400000000002</v>
      </c>
      <c r="I28" s="9">
        <f t="shared" si="2"/>
        <v>11.59327012737654</v>
      </c>
      <c r="J28">
        <v>0.74124800000000002</v>
      </c>
      <c r="K28">
        <v>0.30798300000000001</v>
      </c>
      <c r="L28">
        <v>1.343232</v>
      </c>
      <c r="M28" s="9">
        <f t="shared" si="3"/>
        <v>7.5158021845816663</v>
      </c>
      <c r="N28">
        <v>0.75077300000000002</v>
      </c>
      <c r="O28">
        <v>0.26050499999999999</v>
      </c>
      <c r="P28">
        <v>1.2219789999999999</v>
      </c>
      <c r="Q28" s="11">
        <f t="shared" si="0"/>
        <v>8.2615707798579194</v>
      </c>
    </row>
    <row r="29" spans="1:17" x14ac:dyDescent="0.35">
      <c r="A29" s="3">
        <v>35000000</v>
      </c>
      <c r="B29">
        <v>10.361186999999999</v>
      </c>
      <c r="C29" s="4">
        <v>10.571692000000001</v>
      </c>
      <c r="D29">
        <v>1.2956270000000001</v>
      </c>
      <c r="E29">
        <v>1.4959789999999999</v>
      </c>
      <c r="F29" s="9">
        <f t="shared" si="1"/>
        <v>7.0667382362987725</v>
      </c>
      <c r="G29">
        <v>0.68512399999999996</v>
      </c>
      <c r="H29">
        <v>0.89688699999999999</v>
      </c>
      <c r="I29" s="9">
        <f t="shared" si="2"/>
        <v>11.787094695318363</v>
      </c>
      <c r="J29">
        <v>0.759544</v>
      </c>
      <c r="K29">
        <v>0.26486599999999999</v>
      </c>
      <c r="L29">
        <v>1.2783770000000001</v>
      </c>
      <c r="M29" s="9">
        <f t="shared" si="3"/>
        <v>8.2696199947276892</v>
      </c>
      <c r="N29">
        <v>0.76310999999999996</v>
      </c>
      <c r="O29">
        <v>0.29046699999999998</v>
      </c>
      <c r="P29">
        <v>1.2952410000000001</v>
      </c>
      <c r="Q29" s="11">
        <f t="shared" si="0"/>
        <v>8.1619497838626174</v>
      </c>
    </row>
    <row r="30" spans="1:17" x14ac:dyDescent="0.35">
      <c r="A30" s="3">
        <v>36000000</v>
      </c>
      <c r="B30">
        <v>10.91563</v>
      </c>
      <c r="C30" s="4">
        <v>11.142515</v>
      </c>
      <c r="D30">
        <v>1.345156</v>
      </c>
      <c r="E30">
        <v>1.554657</v>
      </c>
      <c r="F30" s="9">
        <f t="shared" si="1"/>
        <v>7.167185430612669</v>
      </c>
      <c r="G30">
        <v>0.720723</v>
      </c>
      <c r="H30">
        <v>0.93816900000000003</v>
      </c>
      <c r="I30" s="9">
        <f t="shared" si="2"/>
        <v>11.876873996049751</v>
      </c>
      <c r="J30">
        <v>0.79788199999999998</v>
      </c>
      <c r="K30">
        <v>0.29107899999999998</v>
      </c>
      <c r="L30">
        <v>1.3376049999999999</v>
      </c>
      <c r="M30" s="9">
        <f t="shared" si="3"/>
        <v>8.3301983769498467</v>
      </c>
      <c r="N30">
        <v>0.80297399999999997</v>
      </c>
      <c r="O30">
        <v>0.29154999999999998</v>
      </c>
      <c r="P30">
        <v>1.32508</v>
      </c>
      <c r="Q30" s="11">
        <f t="shared" si="0"/>
        <v>8.408937573580463</v>
      </c>
    </row>
    <row r="31" spans="1:17" x14ac:dyDescent="0.35">
      <c r="A31" s="3">
        <v>37000000</v>
      </c>
      <c r="B31">
        <v>11.149357</v>
      </c>
      <c r="C31" s="4">
        <v>11.384838999999999</v>
      </c>
      <c r="D31">
        <v>1.4055679999999999</v>
      </c>
      <c r="E31">
        <v>1.6190869999999999</v>
      </c>
      <c r="F31" s="9">
        <f t="shared" si="1"/>
        <v>7.0316412891957008</v>
      </c>
      <c r="G31">
        <v>0.76413900000000001</v>
      </c>
      <c r="H31">
        <v>0.98982899999999996</v>
      </c>
      <c r="I31" s="9">
        <f t="shared" si="2"/>
        <v>11.501824052437341</v>
      </c>
      <c r="J31">
        <v>0.82260699999999998</v>
      </c>
      <c r="K31">
        <v>0.31930199999999997</v>
      </c>
      <c r="L31">
        <v>1.3924650000000001</v>
      </c>
      <c r="M31" s="9">
        <f t="shared" si="3"/>
        <v>8.1760324316948711</v>
      </c>
      <c r="N31">
        <v>0.82231699999999996</v>
      </c>
      <c r="O31">
        <v>0.32889400000000002</v>
      </c>
      <c r="P31">
        <v>1.4191320000000001</v>
      </c>
      <c r="Q31" s="11">
        <f t="shared" si="0"/>
        <v>8.0223960843670632</v>
      </c>
    </row>
    <row r="32" spans="1:17" x14ac:dyDescent="0.35">
      <c r="A32" s="3">
        <v>38000000</v>
      </c>
      <c r="B32">
        <v>11.578430000000001</v>
      </c>
      <c r="C32" s="4">
        <v>11.813434000000001</v>
      </c>
      <c r="D32">
        <v>1.456799</v>
      </c>
      <c r="E32">
        <v>1.678501</v>
      </c>
      <c r="F32" s="9">
        <f t="shared" si="1"/>
        <v>7.0380857681943594</v>
      </c>
      <c r="G32">
        <v>0.773424</v>
      </c>
      <c r="H32">
        <v>1.0039940000000001</v>
      </c>
      <c r="I32" s="9">
        <f t="shared" si="2"/>
        <v>11.766438843260019</v>
      </c>
      <c r="J32">
        <v>0.85871200000000003</v>
      </c>
      <c r="K32">
        <v>0.37237700000000001</v>
      </c>
      <c r="L32">
        <v>1.488686</v>
      </c>
      <c r="M32" s="9">
        <f t="shared" si="3"/>
        <v>7.9354773269850067</v>
      </c>
      <c r="N32">
        <v>0.853016</v>
      </c>
      <c r="O32">
        <v>0.361595</v>
      </c>
      <c r="P32">
        <v>1.48349</v>
      </c>
      <c r="Q32" s="11">
        <f t="shared" si="0"/>
        <v>7.963271744332622</v>
      </c>
    </row>
    <row r="33" spans="1:39" x14ac:dyDescent="0.35">
      <c r="A33" s="3">
        <v>39000000</v>
      </c>
      <c r="B33">
        <v>12.013828</v>
      </c>
      <c r="C33" s="4">
        <v>12.281571</v>
      </c>
      <c r="D33">
        <v>1.5234430000000001</v>
      </c>
      <c r="E33">
        <v>1.749349</v>
      </c>
      <c r="F33" s="9">
        <f t="shared" si="1"/>
        <v>7.0206522540670839</v>
      </c>
      <c r="G33">
        <v>0.80978899999999998</v>
      </c>
      <c r="H33">
        <v>1.0395719999999999</v>
      </c>
      <c r="I33" s="9">
        <f t="shared" si="2"/>
        <v>11.814064826678672</v>
      </c>
      <c r="J33">
        <v>0.96537600000000001</v>
      </c>
      <c r="K33">
        <v>0.29770099999999999</v>
      </c>
      <c r="L33">
        <v>1.5088649999999999</v>
      </c>
      <c r="M33" s="9">
        <f t="shared" si="3"/>
        <v>8.1396089113340171</v>
      </c>
      <c r="N33">
        <v>0.92100199999999999</v>
      </c>
      <c r="O33">
        <v>0.27014500000000002</v>
      </c>
      <c r="P33">
        <v>1.585299</v>
      </c>
      <c r="Q33" s="11">
        <f t="shared" si="0"/>
        <v>7.7471637842451164</v>
      </c>
    </row>
    <row r="34" spans="1:39" x14ac:dyDescent="0.35">
      <c r="A34" s="3">
        <v>40000000</v>
      </c>
      <c r="B34">
        <v>12.462076</v>
      </c>
      <c r="C34" s="4">
        <v>12.756418</v>
      </c>
      <c r="D34">
        <v>1.574255</v>
      </c>
      <c r="E34">
        <v>1.8022469999999999</v>
      </c>
      <c r="F34" s="9">
        <f t="shared" si="1"/>
        <v>7.0780631067772619</v>
      </c>
      <c r="G34">
        <v>0.83646799999999999</v>
      </c>
      <c r="H34">
        <v>1.0729630000000001</v>
      </c>
      <c r="I34" s="9">
        <f t="shared" si="2"/>
        <v>11.888963552331253</v>
      </c>
      <c r="J34">
        <v>0.92524600000000001</v>
      </c>
      <c r="K34">
        <v>0.35407100000000002</v>
      </c>
      <c r="L34">
        <v>1.5673630000000001</v>
      </c>
      <c r="M34" s="9">
        <f t="shared" si="3"/>
        <v>8.1387770414383898</v>
      </c>
      <c r="N34">
        <v>0.96753800000000001</v>
      </c>
      <c r="O34">
        <v>0.32919300000000001</v>
      </c>
      <c r="P34">
        <v>1.5362039999999999</v>
      </c>
      <c r="Q34" s="11">
        <f t="shared" si="0"/>
        <v>8.3038567794381475</v>
      </c>
    </row>
    <row r="35" spans="1:39" ht="40" customHeight="1" x14ac:dyDescent="0.35"/>
    <row r="36" spans="1:39" s="1" customFormat="1" ht="30" customHeight="1" x14ac:dyDescent="0.35">
      <c r="A36" s="12" t="s">
        <v>13</v>
      </c>
    </row>
    <row r="37" spans="1:39" x14ac:dyDescent="0.35">
      <c r="A37" s="20" t="s">
        <v>11</v>
      </c>
      <c r="B37" s="17" t="s">
        <v>2</v>
      </c>
      <c r="C37" s="18"/>
      <c r="D37" s="19"/>
      <c r="E37" s="17" t="s">
        <v>3</v>
      </c>
      <c r="F37" s="18"/>
      <c r="G37" s="19"/>
      <c r="H37" s="17" t="s">
        <v>14</v>
      </c>
      <c r="I37" s="18"/>
      <c r="J37" s="18"/>
      <c r="K37" s="19"/>
      <c r="L37" s="17" t="s">
        <v>17</v>
      </c>
      <c r="M37" s="18"/>
      <c r="N37" s="18"/>
      <c r="O37" s="19"/>
      <c r="P37" s="17" t="s">
        <v>24</v>
      </c>
      <c r="Q37" s="18"/>
      <c r="R37" s="18"/>
      <c r="S37" s="18"/>
      <c r="T37" s="18"/>
      <c r="U37" s="17" t="s">
        <v>25</v>
      </c>
      <c r="V37" s="18"/>
      <c r="W37" s="18"/>
      <c r="X37" s="18"/>
      <c r="Y37" s="19"/>
      <c r="Z37" s="18" t="s">
        <v>23</v>
      </c>
      <c r="AA37" s="18"/>
      <c r="AB37" s="18"/>
      <c r="AC37" s="18"/>
      <c r="AD37" s="18"/>
      <c r="AE37" s="18"/>
      <c r="AF37" s="18"/>
      <c r="AG37" s="17" t="s">
        <v>29</v>
      </c>
      <c r="AH37" s="18"/>
      <c r="AI37" s="18"/>
      <c r="AJ37" s="18"/>
      <c r="AK37" s="18"/>
      <c r="AL37" s="18"/>
      <c r="AM37" s="18"/>
    </row>
    <row r="38" spans="1:39" ht="15" thickBot="1" x14ac:dyDescent="0.4">
      <c r="A38" s="21"/>
      <c r="B38" s="5" t="s">
        <v>6</v>
      </c>
      <c r="C38" s="6" t="s">
        <v>4</v>
      </c>
      <c r="D38" s="8" t="s">
        <v>7</v>
      </c>
      <c r="E38" s="5" t="s">
        <v>6</v>
      </c>
      <c r="F38" s="6" t="s">
        <v>4</v>
      </c>
      <c r="G38" s="14" t="s">
        <v>7</v>
      </c>
      <c r="H38" s="5" t="s">
        <v>6</v>
      </c>
      <c r="I38" s="6" t="s">
        <v>15</v>
      </c>
      <c r="J38" s="6" t="s">
        <v>4</v>
      </c>
      <c r="K38" s="8" t="s">
        <v>7</v>
      </c>
      <c r="L38" s="6" t="s">
        <v>6</v>
      </c>
      <c r="M38" s="6" t="s">
        <v>15</v>
      </c>
      <c r="N38" s="6" t="s">
        <v>4</v>
      </c>
      <c r="O38" s="8" t="s">
        <v>7</v>
      </c>
      <c r="P38" s="6" t="s">
        <v>26</v>
      </c>
      <c r="Q38" s="6" t="s">
        <v>6</v>
      </c>
      <c r="R38" s="6" t="s">
        <v>15</v>
      </c>
      <c r="S38" s="6" t="s">
        <v>4</v>
      </c>
      <c r="T38" s="8" t="s">
        <v>7</v>
      </c>
      <c r="U38" s="5" t="s">
        <v>26</v>
      </c>
      <c r="V38" s="6" t="s">
        <v>6</v>
      </c>
      <c r="W38" s="6" t="s">
        <v>15</v>
      </c>
      <c r="X38" s="6" t="s">
        <v>4</v>
      </c>
      <c r="Y38" s="8" t="s">
        <v>7</v>
      </c>
      <c r="Z38" s="6" t="s">
        <v>27</v>
      </c>
      <c r="AA38" s="6" t="s">
        <v>28</v>
      </c>
      <c r="AB38" s="6" t="s">
        <v>26</v>
      </c>
      <c r="AC38" s="6" t="s">
        <v>6</v>
      </c>
      <c r="AD38" s="6" t="s">
        <v>15</v>
      </c>
      <c r="AE38" s="6" t="s">
        <v>4</v>
      </c>
      <c r="AF38" s="8" t="s">
        <v>7</v>
      </c>
      <c r="AG38" s="6" t="s">
        <v>27</v>
      </c>
      <c r="AH38" s="6" t="s">
        <v>28</v>
      </c>
      <c r="AI38" s="6" t="s">
        <v>26</v>
      </c>
      <c r="AJ38" s="6" t="s">
        <v>6</v>
      </c>
      <c r="AK38" s="6" t="s">
        <v>15</v>
      </c>
      <c r="AL38" s="6" t="s">
        <v>4</v>
      </c>
      <c r="AM38" s="10" t="s">
        <v>7</v>
      </c>
    </row>
    <row r="39" spans="1:39" x14ac:dyDescent="0.35">
      <c r="A39" s="3">
        <v>1</v>
      </c>
      <c r="B39">
        <v>1.74854</v>
      </c>
      <c r="C39">
        <v>1.8197680000000001</v>
      </c>
      <c r="D39" s="13">
        <f>$C$4/C39</f>
        <v>1.0075586558286551</v>
      </c>
      <c r="E39">
        <v>1.7494799999999999</v>
      </c>
      <c r="F39">
        <v>1.820657</v>
      </c>
      <c r="G39" s="13">
        <f>$C$4/F39</f>
        <v>1.0070666797754877</v>
      </c>
      <c r="H39">
        <v>2.0217879999999999</v>
      </c>
      <c r="I39">
        <v>3.2650000000000001E-3</v>
      </c>
      <c r="J39">
        <v>2.1041650000000001</v>
      </c>
      <c r="K39" s="9">
        <f>$C$4/J39</f>
        <v>0.87137795752709502</v>
      </c>
      <c r="L39">
        <v>2.01023</v>
      </c>
      <c r="M39">
        <v>2.526E-3</v>
      </c>
      <c r="N39">
        <v>2.0894249999999999</v>
      </c>
      <c r="O39" s="9">
        <f>$C$4/N39</f>
        <v>0.87752515644256202</v>
      </c>
      <c r="P39">
        <v>4</v>
      </c>
      <c r="Q39">
        <v>0.50309776299999998</v>
      </c>
      <c r="R39">
        <v>7.5668478999999997E-2</v>
      </c>
      <c r="S39">
        <v>0.64768241900000001</v>
      </c>
      <c r="T39" s="9">
        <f>$C$4/S39</f>
        <v>2.83089820908046</v>
      </c>
      <c r="U39">
        <v>4</v>
      </c>
      <c r="V39">
        <v>0.51425359800000003</v>
      </c>
      <c r="W39">
        <v>7.5618994999999994E-2</v>
      </c>
      <c r="X39">
        <v>0.660196212</v>
      </c>
      <c r="Y39" s="9">
        <f>$C$4/X39</f>
        <v>2.777239503458405</v>
      </c>
      <c r="Z39">
        <v>1</v>
      </c>
      <c r="AA39">
        <v>1</v>
      </c>
      <c r="AB39">
        <v>1</v>
      </c>
      <c r="AC39">
        <v>2.0065014589999999</v>
      </c>
      <c r="AD39">
        <v>2.3692940000000001E-3</v>
      </c>
      <c r="AE39">
        <v>2.089318639</v>
      </c>
      <c r="AF39" s="9">
        <f>$C$4/AE39</f>
        <v>0.87756982863923993</v>
      </c>
      <c r="AG39">
        <v>1</v>
      </c>
      <c r="AH39">
        <v>1</v>
      </c>
      <c r="AI39">
        <v>1</v>
      </c>
      <c r="AJ39">
        <v>2.0402865120000002</v>
      </c>
      <c r="AK39">
        <v>2.458413E-3</v>
      </c>
      <c r="AL39">
        <v>2.1245557530000001</v>
      </c>
      <c r="AM39" s="11">
        <f>$C$4/AL39</f>
        <v>0.8630147725758458</v>
      </c>
    </row>
    <row r="40" spans="1:39" x14ac:dyDescent="0.35">
      <c r="A40" s="3">
        <v>2</v>
      </c>
      <c r="B40">
        <v>1.7343599999999999</v>
      </c>
      <c r="C40">
        <v>1.80525</v>
      </c>
      <c r="D40" s="9">
        <f t="shared" ref="D40:D46" si="4">$C$4/C40</f>
        <v>1.0156615427226146</v>
      </c>
      <c r="E40">
        <v>0.87936300000000001</v>
      </c>
      <c r="F40">
        <v>0.95243699999999998</v>
      </c>
      <c r="G40" s="9">
        <f t="shared" ref="G40:G46" si="5">$C$4/F40</f>
        <v>1.9250858586972157</v>
      </c>
      <c r="H40">
        <v>1.0050319999999999</v>
      </c>
      <c r="I40">
        <v>3.4619999999999998E-2</v>
      </c>
      <c r="J40">
        <v>1.124552</v>
      </c>
      <c r="K40" s="9">
        <f t="shared" ref="K40:K46" si="6">$C$4/J40</f>
        <v>1.6304475026499441</v>
      </c>
      <c r="L40">
        <v>1.016926</v>
      </c>
      <c r="M40">
        <v>4.5919000000000001E-2</v>
      </c>
      <c r="N40">
        <v>1.1453180000000001</v>
      </c>
      <c r="O40" s="9">
        <f t="shared" ref="O40:O46" si="7">$C$4/N40</f>
        <v>1.6008855182578112</v>
      </c>
      <c r="P40">
        <v>8</v>
      </c>
      <c r="Q40">
        <v>0.25398512699999998</v>
      </c>
      <c r="R40">
        <v>7.7257800000000001E-2</v>
      </c>
      <c r="S40">
        <v>0.399424538</v>
      </c>
      <c r="T40" s="9">
        <f t="shared" ref="T40:T46" si="8">$C$4/S40</f>
        <v>4.5904115184831236</v>
      </c>
      <c r="U40">
        <v>8</v>
      </c>
      <c r="V40">
        <v>0.27449818300000001</v>
      </c>
      <c r="W40">
        <v>8.7516162999999994E-2</v>
      </c>
      <c r="X40">
        <v>0.432699157</v>
      </c>
      <c r="Y40" s="9">
        <f t="shared" ref="Y40:Y46" si="9">$C$4/X40</f>
        <v>4.237408301675984</v>
      </c>
      <c r="Z40">
        <v>1</v>
      </c>
      <c r="AA40">
        <v>2</v>
      </c>
      <c r="AB40">
        <v>2</v>
      </c>
      <c r="AC40">
        <v>1.009906725</v>
      </c>
      <c r="AD40">
        <v>2.9520549999999999E-3</v>
      </c>
      <c r="AE40">
        <v>1.0845280960000001</v>
      </c>
      <c r="AF40" s="9">
        <f t="shared" ref="AF40:AF46" si="10">$C$4/AE40</f>
        <v>1.6906182576205013</v>
      </c>
      <c r="AG40">
        <v>1</v>
      </c>
      <c r="AH40">
        <v>2</v>
      </c>
      <c r="AI40">
        <v>2</v>
      </c>
      <c r="AJ40">
        <v>1.036417339</v>
      </c>
      <c r="AK40">
        <v>2.2205430000000002E-3</v>
      </c>
      <c r="AL40">
        <v>1.1149560279999999</v>
      </c>
      <c r="AM40" s="11">
        <f t="shared" ref="AM40:AM46" si="11">$C$4/AL40</f>
        <v>1.6444800996223683</v>
      </c>
    </row>
    <row r="41" spans="1:39" x14ac:dyDescent="0.35">
      <c r="A41" s="3">
        <v>4</v>
      </c>
      <c r="B41">
        <v>0.870753</v>
      </c>
      <c r="C41">
        <v>0.94302399999999997</v>
      </c>
      <c r="D41" s="9">
        <f t="shared" si="4"/>
        <v>1.9443015236091552</v>
      </c>
      <c r="E41">
        <v>0.44031900000000002</v>
      </c>
      <c r="F41">
        <v>0.51101799999999997</v>
      </c>
      <c r="G41" s="9">
        <f t="shared" si="5"/>
        <v>3.5879812452790314</v>
      </c>
      <c r="H41" s="15">
        <v>0.51713900000000002</v>
      </c>
      <c r="I41" s="15">
        <v>7.7720999999999998E-2</v>
      </c>
      <c r="J41" s="15">
        <v>0.67709600000000003</v>
      </c>
      <c r="K41" s="16">
        <f t="shared" si="6"/>
        <v>2.7079217718019306</v>
      </c>
      <c r="L41" s="15">
        <v>0.507683</v>
      </c>
      <c r="M41" s="15">
        <v>0.100218</v>
      </c>
      <c r="N41" s="15">
        <v>0.68465600000000004</v>
      </c>
      <c r="O41" s="16">
        <f t="shared" si="7"/>
        <v>2.6780207870813957</v>
      </c>
      <c r="P41" s="15">
        <v>16</v>
      </c>
      <c r="Q41" s="15">
        <v>0.12867648100000001</v>
      </c>
      <c r="R41" s="15">
        <v>7.6324689000000001E-2</v>
      </c>
      <c r="S41" s="15">
        <v>0.273400003</v>
      </c>
      <c r="T41" s="16">
        <f t="shared" si="8"/>
        <v>6.706375200734727</v>
      </c>
      <c r="U41" s="15">
        <v>16</v>
      </c>
      <c r="V41" s="15">
        <v>0.14175663599999999</v>
      </c>
      <c r="W41" s="15">
        <v>9.8910972E-2</v>
      </c>
      <c r="X41" s="15">
        <v>0.31906516000000001</v>
      </c>
      <c r="Y41" s="16">
        <f t="shared" si="9"/>
        <v>5.7465471943097768</v>
      </c>
      <c r="Z41">
        <v>2</v>
      </c>
      <c r="AA41">
        <v>2</v>
      </c>
      <c r="AB41">
        <v>4</v>
      </c>
      <c r="AC41">
        <v>0.51271963200000004</v>
      </c>
      <c r="AD41">
        <v>5.3783480000000002E-2</v>
      </c>
      <c r="AE41">
        <v>0.643284203</v>
      </c>
      <c r="AF41" s="9">
        <f t="shared" si="10"/>
        <v>2.8502534205709384</v>
      </c>
      <c r="AG41">
        <v>2</v>
      </c>
      <c r="AH41">
        <v>2</v>
      </c>
      <c r="AI41">
        <v>4</v>
      </c>
      <c r="AJ41">
        <v>0.59131445100000002</v>
      </c>
      <c r="AK41">
        <v>8.8057294999999994E-2</v>
      </c>
      <c r="AL41">
        <v>0.69871272900000003</v>
      </c>
      <c r="AM41" s="11">
        <f t="shared" si="11"/>
        <v>2.6241442640155479</v>
      </c>
    </row>
    <row r="42" spans="1:39" x14ac:dyDescent="0.35">
      <c r="A42" s="3">
        <v>8</v>
      </c>
      <c r="B42">
        <v>0.43722100000000003</v>
      </c>
      <c r="C42">
        <v>0.509633</v>
      </c>
      <c r="D42" s="9">
        <f t="shared" si="4"/>
        <v>3.5977320934868819</v>
      </c>
      <c r="E42">
        <v>0.22437299999999999</v>
      </c>
      <c r="F42">
        <v>0.29492499999999999</v>
      </c>
      <c r="G42" s="9">
        <f t="shared" si="5"/>
        <v>6.2169127744341788</v>
      </c>
      <c r="H42">
        <v>0.25595699999999999</v>
      </c>
      <c r="I42">
        <v>0.118034</v>
      </c>
      <c r="J42">
        <v>0.45441399999999998</v>
      </c>
      <c r="K42" s="9">
        <f t="shared" si="6"/>
        <v>4.0349174981404623</v>
      </c>
      <c r="L42">
        <v>0.28122200000000003</v>
      </c>
      <c r="M42">
        <v>0.13812199999999999</v>
      </c>
      <c r="N42">
        <v>0.47998299999999999</v>
      </c>
      <c r="O42" s="9">
        <f t="shared" si="7"/>
        <v>3.8199748741101249</v>
      </c>
      <c r="P42">
        <v>32</v>
      </c>
      <c r="Q42">
        <v>6.6113353999999999E-2</v>
      </c>
      <c r="R42">
        <v>7.3690733999999994E-2</v>
      </c>
      <c r="S42">
        <v>0.210977158</v>
      </c>
      <c r="T42" s="9">
        <f t="shared" si="8"/>
        <v>8.6906232759093278</v>
      </c>
      <c r="U42">
        <v>32</v>
      </c>
      <c r="V42">
        <v>7.7836308000000007E-2</v>
      </c>
      <c r="W42">
        <v>8.2678809000000006E-2</v>
      </c>
      <c r="X42">
        <v>0.25186906100000001</v>
      </c>
      <c r="Y42" s="9">
        <f t="shared" si="9"/>
        <v>7.2796674300540625</v>
      </c>
      <c r="Z42">
        <v>2</v>
      </c>
      <c r="AA42">
        <v>4</v>
      </c>
      <c r="AB42">
        <v>8</v>
      </c>
      <c r="AC42">
        <v>0.26235401400000002</v>
      </c>
      <c r="AD42">
        <v>4.5380451000000002E-2</v>
      </c>
      <c r="AE42">
        <v>0.39131629600000001</v>
      </c>
      <c r="AF42" s="9">
        <f t="shared" si="10"/>
        <v>4.6855268199717397</v>
      </c>
      <c r="AG42">
        <v>2</v>
      </c>
      <c r="AH42">
        <v>4</v>
      </c>
      <c r="AI42">
        <v>8</v>
      </c>
      <c r="AJ42">
        <v>0.30637228500000002</v>
      </c>
      <c r="AK42">
        <v>7.8117846000000005E-2</v>
      </c>
      <c r="AL42">
        <v>0.42161533499999998</v>
      </c>
      <c r="AM42" s="11">
        <f t="shared" si="11"/>
        <v>4.3488052919137772</v>
      </c>
    </row>
    <row r="43" spans="1:39" x14ac:dyDescent="0.35">
      <c r="A43" s="3">
        <v>16</v>
      </c>
      <c r="B43">
        <v>0.220135</v>
      </c>
      <c r="C43">
        <v>0.289155</v>
      </c>
      <c r="D43" s="9">
        <f t="shared" si="4"/>
        <v>6.3409693762860755</v>
      </c>
      <c r="E43">
        <v>0.12690499999999999</v>
      </c>
      <c r="F43">
        <v>0.228903</v>
      </c>
      <c r="G43" s="9">
        <f t="shared" si="5"/>
        <v>8.010043555567206</v>
      </c>
      <c r="H43">
        <v>0.16810600000000001</v>
      </c>
      <c r="I43">
        <v>0.13155</v>
      </c>
      <c r="J43">
        <v>0.340808</v>
      </c>
      <c r="K43" s="9">
        <f t="shared" si="6"/>
        <v>5.3799294617497244</v>
      </c>
      <c r="L43">
        <v>0.20425699999999999</v>
      </c>
      <c r="M43">
        <v>0.14940899999999999</v>
      </c>
      <c r="N43">
        <v>0.442602</v>
      </c>
      <c r="O43" s="9">
        <f t="shared" si="7"/>
        <v>4.1425998978766474</v>
      </c>
      <c r="P43">
        <v>64</v>
      </c>
      <c r="Q43">
        <v>4.3962521999999997E-2</v>
      </c>
      <c r="R43">
        <v>8.9426810999999995E-2</v>
      </c>
      <c r="S43">
        <v>0.21592866899999999</v>
      </c>
      <c r="T43" s="9">
        <f t="shared" si="8"/>
        <v>8.491336553368928</v>
      </c>
      <c r="U43">
        <v>64</v>
      </c>
      <c r="V43">
        <v>5.9973138000000002E-2</v>
      </c>
      <c r="W43">
        <v>8.1462149999999997E-2</v>
      </c>
      <c r="X43">
        <v>0.235125732</v>
      </c>
      <c r="Y43" s="9">
        <f t="shared" si="9"/>
        <v>7.7980533410949677</v>
      </c>
      <c r="Z43">
        <v>4</v>
      </c>
      <c r="AA43">
        <v>4</v>
      </c>
      <c r="AB43">
        <v>16</v>
      </c>
      <c r="AC43">
        <v>0.14599369600000001</v>
      </c>
      <c r="AD43">
        <v>9.1376313000000001E-2</v>
      </c>
      <c r="AE43">
        <v>0.30945852800000001</v>
      </c>
      <c r="AF43" s="9">
        <f t="shared" si="10"/>
        <v>5.9249393185247747</v>
      </c>
      <c r="AG43">
        <v>4</v>
      </c>
      <c r="AH43">
        <v>4</v>
      </c>
      <c r="AI43">
        <v>16</v>
      </c>
      <c r="AJ43">
        <v>0.15337848000000001</v>
      </c>
      <c r="AK43">
        <v>9.1790815999999997E-2</v>
      </c>
      <c r="AL43">
        <v>0.31635774799999999</v>
      </c>
      <c r="AM43" s="11">
        <f t="shared" si="11"/>
        <v>5.795726551954087</v>
      </c>
    </row>
    <row r="44" spans="1:39" x14ac:dyDescent="0.35">
      <c r="A44" s="3">
        <v>32</v>
      </c>
      <c r="B44">
        <v>0.117785</v>
      </c>
      <c r="C44">
        <v>0.18956100000000001</v>
      </c>
      <c r="D44" s="9">
        <f t="shared" si="4"/>
        <v>9.6724695480610468</v>
      </c>
      <c r="E44">
        <v>0.130215</v>
      </c>
      <c r="F44">
        <v>0.222078</v>
      </c>
      <c r="G44" s="9">
        <f t="shared" si="5"/>
        <v>8.256211781446158</v>
      </c>
      <c r="H44">
        <v>7.3206999999999994E-2</v>
      </c>
      <c r="I44">
        <v>0.124931</v>
      </c>
      <c r="J44">
        <v>0.26377600000000001</v>
      </c>
      <c r="K44" s="9">
        <f t="shared" si="6"/>
        <v>6.95106074851389</v>
      </c>
      <c r="L44">
        <v>0.115091</v>
      </c>
      <c r="M44">
        <v>0.16541700000000001</v>
      </c>
      <c r="N44">
        <v>0.32397199999999998</v>
      </c>
      <c r="O44" s="9">
        <f t="shared" si="7"/>
        <v>5.6595106984554224</v>
      </c>
      <c r="P44">
        <v>128</v>
      </c>
      <c r="Q44">
        <v>4.0862580000000003E-2</v>
      </c>
      <c r="R44">
        <v>7.4088886000000007E-2</v>
      </c>
      <c r="S44">
        <v>0.194909374</v>
      </c>
      <c r="T44" s="9">
        <f t="shared" si="8"/>
        <v>9.4070539675531464</v>
      </c>
      <c r="U44">
        <v>128</v>
      </c>
      <c r="V44">
        <v>5.7993240000000001E-2</v>
      </c>
      <c r="W44">
        <v>8.4605016000000005E-2</v>
      </c>
      <c r="X44">
        <v>0.23258216800000001</v>
      </c>
      <c r="Y44" s="9">
        <f t="shared" si="9"/>
        <v>7.8833343749723754</v>
      </c>
      <c r="Z44">
        <v>4</v>
      </c>
      <c r="AA44">
        <v>8</v>
      </c>
      <c r="AB44">
        <v>32</v>
      </c>
      <c r="AC44">
        <v>8.3896393999999999E-2</v>
      </c>
      <c r="AD44">
        <v>9.3016501000000001E-2</v>
      </c>
      <c r="AE44">
        <v>0.255466054</v>
      </c>
      <c r="AF44" s="9">
        <f t="shared" si="10"/>
        <v>7.1771688304231605</v>
      </c>
      <c r="AG44">
        <v>4</v>
      </c>
      <c r="AH44">
        <v>8</v>
      </c>
      <c r="AI44">
        <v>32</v>
      </c>
      <c r="AJ44">
        <v>9.5941604999999999E-2</v>
      </c>
      <c r="AK44">
        <v>7.5440968999999997E-2</v>
      </c>
      <c r="AL44">
        <v>0.251857689</v>
      </c>
      <c r="AM44" s="11">
        <f t="shared" si="11"/>
        <v>7.2799961251133372</v>
      </c>
    </row>
    <row r="45" spans="1:39" x14ac:dyDescent="0.35">
      <c r="A45" s="3">
        <v>64</v>
      </c>
      <c r="B45">
        <v>0.14402799999999999</v>
      </c>
      <c r="C45">
        <v>0.213614</v>
      </c>
      <c r="D45" s="9">
        <f t="shared" si="4"/>
        <v>8.5833465971331471</v>
      </c>
      <c r="E45">
        <v>0.13336100000000001</v>
      </c>
      <c r="F45">
        <v>0.214563</v>
      </c>
      <c r="G45" s="9">
        <f t="shared" si="5"/>
        <v>8.5453829411408311</v>
      </c>
      <c r="H45">
        <v>6.1040999999999998E-2</v>
      </c>
      <c r="I45">
        <v>0.14222099999999999</v>
      </c>
      <c r="J45">
        <v>0.25761400000000001</v>
      </c>
      <c r="K45" s="9">
        <f t="shared" si="6"/>
        <v>7.1173266980831782</v>
      </c>
      <c r="L45">
        <v>0.116407</v>
      </c>
      <c r="M45">
        <v>0.38983600000000002</v>
      </c>
      <c r="N45">
        <v>0.59950899999999996</v>
      </c>
      <c r="O45" s="9">
        <f t="shared" si="7"/>
        <v>3.058374436413799</v>
      </c>
      <c r="P45">
        <v>256</v>
      </c>
      <c r="Q45">
        <v>4.2005105000000001E-2</v>
      </c>
      <c r="R45">
        <v>7.7805784000000003E-2</v>
      </c>
      <c r="S45">
        <v>0.19501533300000001</v>
      </c>
      <c r="T45" s="9">
        <f t="shared" si="8"/>
        <v>9.4019427692898372</v>
      </c>
      <c r="U45">
        <v>256</v>
      </c>
      <c r="V45">
        <v>7.2628166999999993E-2</v>
      </c>
      <c r="W45">
        <v>7.6768144999999996E-2</v>
      </c>
      <c r="X45">
        <v>0.21139830200000001</v>
      </c>
      <c r="Y45" s="9">
        <f t="shared" si="9"/>
        <v>8.6733099682134629</v>
      </c>
      <c r="Z45">
        <v>8</v>
      </c>
      <c r="AA45">
        <v>8</v>
      </c>
      <c r="AB45">
        <v>64</v>
      </c>
      <c r="AC45">
        <v>4.6705747999999998E-2</v>
      </c>
      <c r="AD45">
        <v>8.4241409000000003E-2</v>
      </c>
      <c r="AE45">
        <v>0.20239310599999999</v>
      </c>
      <c r="AF45" s="9">
        <f t="shared" si="10"/>
        <v>9.0592166711449167</v>
      </c>
      <c r="AG45">
        <v>8</v>
      </c>
      <c r="AH45">
        <v>8</v>
      </c>
      <c r="AI45">
        <v>64</v>
      </c>
      <c r="AJ45">
        <v>5.5262914000000003E-2</v>
      </c>
      <c r="AK45">
        <v>8.2436289999999995E-2</v>
      </c>
      <c r="AL45">
        <v>0.224557904</v>
      </c>
      <c r="AM45" s="11">
        <f t="shared" si="11"/>
        <v>8.1650343512290711</v>
      </c>
    </row>
    <row r="46" spans="1:39" x14ac:dyDescent="0.35">
      <c r="A46" s="3">
        <v>128</v>
      </c>
      <c r="B46">
        <v>0.14100099999999999</v>
      </c>
      <c r="C46">
        <v>0.21090200000000001</v>
      </c>
      <c r="D46" s="9">
        <f t="shared" si="4"/>
        <v>8.6937203061137396</v>
      </c>
      <c r="E46">
        <v>0.13519500000000001</v>
      </c>
      <c r="F46">
        <v>0.21376500000000001</v>
      </c>
      <c r="G46" s="9">
        <f t="shared" si="5"/>
        <v>8.5772834654878025</v>
      </c>
      <c r="H46">
        <v>2.6589000000000002E-2</v>
      </c>
      <c r="I46">
        <v>0.17158999999999999</v>
      </c>
      <c r="J46">
        <v>0.28146300000000002</v>
      </c>
      <c r="K46" s="9">
        <f t="shared" si="6"/>
        <v>6.5142594230858046</v>
      </c>
      <c r="L46">
        <v>3.2827000000000002E-2</v>
      </c>
      <c r="M46">
        <v>0.19209899999999999</v>
      </c>
      <c r="N46">
        <v>1.1643749999999999</v>
      </c>
      <c r="O46" s="9">
        <f t="shared" si="7"/>
        <v>1.5746842726784758</v>
      </c>
      <c r="P46">
        <v>512</v>
      </c>
      <c r="Q46">
        <v>4.5719668999999998E-2</v>
      </c>
      <c r="R46">
        <v>7.7309878999999998E-2</v>
      </c>
      <c r="S46">
        <v>0.194904985</v>
      </c>
      <c r="T46" s="9">
        <f t="shared" si="8"/>
        <v>9.4072658018469877</v>
      </c>
      <c r="U46">
        <v>512</v>
      </c>
      <c r="V46">
        <v>5.7147397000000003E-2</v>
      </c>
      <c r="W46">
        <v>8.4434792999999994E-2</v>
      </c>
      <c r="X46">
        <v>0.22737795</v>
      </c>
      <c r="Y46" s="9">
        <f t="shared" si="9"/>
        <v>8.0637678367669334</v>
      </c>
      <c r="Z46">
        <v>8</v>
      </c>
      <c r="AA46">
        <v>16</v>
      </c>
      <c r="AB46">
        <v>128</v>
      </c>
      <c r="AC46">
        <v>4.6820715999999998E-2</v>
      </c>
      <c r="AD46">
        <v>0.10161904500000001</v>
      </c>
      <c r="AE46">
        <v>0.20069303599999999</v>
      </c>
      <c r="AF46" s="9">
        <f t="shared" si="10"/>
        <v>9.1359572636092867</v>
      </c>
      <c r="AG46">
        <v>8</v>
      </c>
      <c r="AH46">
        <v>16</v>
      </c>
      <c r="AI46">
        <v>128</v>
      </c>
      <c r="AJ46">
        <v>6.3690127999999999E-2</v>
      </c>
      <c r="AK46">
        <v>9.7396863E-2</v>
      </c>
      <c r="AL46">
        <v>0.226447019</v>
      </c>
      <c r="AM46" s="11">
        <f t="shared" si="11"/>
        <v>8.0969182464707128</v>
      </c>
    </row>
  </sheetData>
  <mergeCells count="15">
    <mergeCell ref="U37:Y37"/>
    <mergeCell ref="Z37:AF37"/>
    <mergeCell ref="AG37:AM37"/>
    <mergeCell ref="P37:T37"/>
    <mergeCell ref="A2:A3"/>
    <mergeCell ref="B2:C2"/>
    <mergeCell ref="D2:F2"/>
    <mergeCell ref="G2:I2"/>
    <mergeCell ref="J2:M2"/>
    <mergeCell ref="A37:A38"/>
    <mergeCell ref="B37:D37"/>
    <mergeCell ref="E37:G37"/>
    <mergeCell ref="H37:K37"/>
    <mergeCell ref="L37:O37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</vt:lpstr>
      <vt:lpstr>CAAS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2026-09-15T17:33:31Z</dcterms:modified>
</cp:coreProperties>
</file>